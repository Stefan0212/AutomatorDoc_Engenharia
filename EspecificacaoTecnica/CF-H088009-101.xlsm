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showInkAnnotation="0" codeName="ThisWorkbook" autoCompressPictures="0"/>
  <mc:AlternateContent xmlns:mc="http://schemas.openxmlformats.org/markup-compatibility/2006">
    <mc:Choice Requires="x15">
      <x15ac:absPath xmlns:x15ac="http://schemas.microsoft.com/office/spreadsheetml/2010/11/ac" url="C:\Users\Stefan Cruz\Desktop\Safran\AutomatorDoc_Engenharia_Safran\EspecificacaoTecnica\"/>
    </mc:Choice>
  </mc:AlternateContent>
  <xr:revisionPtr revIDLastSave="0" documentId="13_ncr:1_{B98300D2-9FD5-4687-AB97-D9528AA04CFE}" xr6:coauthVersionLast="47" xr6:coauthVersionMax="47" xr10:uidLastSave="{00000000-0000-0000-0000-000000000000}"/>
  <bookViews>
    <workbookView xWindow="-120" yWindow="-120" windowWidth="20730" windowHeight="11160" tabRatio="500" activeTab="1" xr2:uid="{00000000-000D-0000-FFFF-FFFF00000000}"/>
  </bookViews>
  <sheets>
    <sheet name="Cover" sheetId="20" r:id="rId1"/>
    <sheet name="Approvals" sheetId="5" r:id="rId2"/>
    <sheet name="Revisions" sheetId="6" r:id="rId3"/>
    <sheet name="Instructions" sheetId="10" r:id="rId4"/>
    <sheet name="AAA" sheetId="21" r:id="rId5"/>
    <sheet name="SUPPORT" sheetId="19" state="hidden" r:id="rId6"/>
  </sheets>
  <definedNames>
    <definedName name="_xlnm._FilterDatabase" localSheetId="4" hidden="1">AAA!$B$2:$I$2</definedName>
    <definedName name="_xlnm.Print_Area" localSheetId="1">Approvals!$A$1:$J$59</definedName>
    <definedName name="_xlnm.Print_Area" localSheetId="0">Cover!$A$1:$I$58</definedName>
    <definedName name="_xlnm.Print_Area" localSheetId="3">Instructions!$A$1:$H$60</definedName>
    <definedName name="_xlnm.Print_Area" localSheetId="2">Revisions!$A$1:$H$60</definedName>
    <definedName name="EXPLO_DMU_20004" localSheetId="0">#REF!</definedName>
    <definedName name="EXPLO_DMU_20004" localSheetId="5">#REF!</definedName>
    <definedName name="EXPLO_DMU_20004">#REF!</definedName>
    <definedName name="rConfigCode">AAA!$E$1</definedName>
    <definedName name="rDocNum" localSheetId="0">Cover!$E$13</definedName>
    <definedName name="rDocNum">#REF!</definedName>
    <definedName name="rPN">AAA!$C$1</definedName>
    <definedName name="rRevHeader">Revisions!$B$4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3" i="20" l="1"/>
  <c r="H5" i="20"/>
  <c r="B5" i="5" l="1"/>
  <c r="H3" i="20" l="1"/>
</calcChain>
</file>

<file path=xl/sharedStrings.xml><?xml version="1.0" encoding="utf-8"?>
<sst xmlns="http://schemas.openxmlformats.org/spreadsheetml/2006/main" count="6165" uniqueCount="3242">
  <si>
    <t>DOCUMENT NO:</t>
  </si>
  <si>
    <t>DOCUMENT TITLE:</t>
  </si>
  <si>
    <t>UNIT:</t>
  </si>
  <si>
    <t>PART NUMBER:</t>
  </si>
  <si>
    <t>CUSTOMER:</t>
  </si>
  <si>
    <t>AIRCRAFT MODEL:</t>
  </si>
  <si>
    <t>ORIGINAL APPROVALS</t>
  </si>
  <si>
    <t>DATE</t>
  </si>
  <si>
    <t>PREPARED BY:</t>
  </si>
  <si>
    <t>CHECKED BY:</t>
  </si>
  <si>
    <t>APPROVED BY:</t>
  </si>
  <si>
    <t>PROJECT ENG.:</t>
  </si>
  <si>
    <t>APPROVALS PAGE</t>
  </si>
  <si>
    <t>Rev</t>
  </si>
  <si>
    <t>Date</t>
  </si>
  <si>
    <t>Prepared By</t>
  </si>
  <si>
    <t>Checked By</t>
  </si>
  <si>
    <t>Approved By</t>
  </si>
  <si>
    <t>N/C</t>
  </si>
  <si>
    <t>REVISIONS PAGE</t>
  </si>
  <si>
    <t>Description of Change</t>
  </si>
  <si>
    <t>Initial Release</t>
  </si>
  <si>
    <t>HOV ASSY CONFIGURATION DOCUMENT</t>
  </si>
  <si>
    <t>EMBRAER</t>
  </si>
  <si>
    <t>E2</t>
  </si>
  <si>
    <t>Karoline Santos Serpa Martins</t>
  </si>
  <si>
    <t>Aline Brandao</t>
  </si>
  <si>
    <t>Thiago Brandao Pinto</t>
  </si>
  <si>
    <t>CONFIGURATION DOCUMENT</t>
  </si>
  <si>
    <t>HOV Assy:</t>
  </si>
  <si>
    <t>NC</t>
  </si>
  <si>
    <t>AAA</t>
  </si>
  <si>
    <t>LEVEL</t>
  </si>
  <si>
    <t>PN-DB</t>
  </si>
  <si>
    <t>REV</t>
  </si>
  <si>
    <t>PN</t>
  </si>
  <si>
    <t>Suffix</t>
  </si>
  <si>
    <t>Decor</t>
  </si>
  <si>
    <t>Location</t>
  </si>
  <si>
    <t>DESCRIPTION</t>
  </si>
  <si>
    <t>A</t>
  </si>
  <si>
    <t>E</t>
  </si>
  <si>
    <t>B</t>
  </si>
  <si>
    <t>C</t>
  </si>
  <si>
    <t>D</t>
  </si>
  <si>
    <t>TF1
TF2</t>
  </si>
  <si>
    <t>TF1</t>
  </si>
  <si>
    <t>MS20426AD3-3</t>
  </si>
  <si>
    <t>Rivet, Flat Head, Solid, 3/32, Al 2117-T4, Chem Film, General</t>
  </si>
  <si>
    <t>F</t>
  </si>
  <si>
    <t>CDEL1029-3</t>
  </si>
  <si>
    <t>CABLE TIE MOUNT, BONDED, 10MM</t>
  </si>
  <si>
    <t>PLACARD, LABEL</t>
  </si>
  <si>
    <t>PLACARD</t>
  </si>
  <si>
    <t>CONNECTOR</t>
  </si>
  <si>
    <t>NAS1149F0332P</t>
  </si>
  <si>
    <t>Washer, Flat, #10, Steel, Cad Plate, General</t>
  </si>
  <si>
    <t>Screw, Pan Head, Full Thd, #10-32, Alloy Steel, 160 ksi, Structural</t>
  </si>
  <si>
    <t>Screw, Flat Head, Full Thd, #8-32, Alloy Steel, 125 ksi, General</t>
  </si>
  <si>
    <t>NAS514P832-5</t>
  </si>
  <si>
    <t>|       |       └NAS1149F0332P</t>
  </si>
  <si>
    <t>Industrialization</t>
  </si>
  <si>
    <t>Mat. And Process</t>
  </si>
  <si>
    <t>AD32BS</t>
  </si>
  <si>
    <t>Rivet, Emhart, Dome Head, Blind, 3/32, Al 5056-H34, General</t>
  </si>
  <si>
    <t>CDPL160-13</t>
  </si>
  <si>
    <t>W</t>
  </si>
  <si>
    <t>CDSP3839-3</t>
  </si>
  <si>
    <t>COAT HOOK</t>
  </si>
  <si>
    <t>CDSP5801-2AL</t>
  </si>
  <si>
    <t>Washer, CSK 100 deg., #8, Al 6061-T6, Anodize, General</t>
  </si>
  <si>
    <t>DOUBLER LATCH</t>
  </si>
  <si>
    <t>CDEL1029-503</t>
  </si>
  <si>
    <t>CABLE TIE MOUNT ASSY, BONDED</t>
  </si>
  <si>
    <t>GROUND STRAP</t>
  </si>
  <si>
    <t>50845-2</t>
  </si>
  <si>
    <t>TERMINAL, RING TONGUE</t>
  </si>
  <si>
    <t>H061251-501</t>
  </si>
  <si>
    <t>SWITCH ASSY-READING LIGHT</t>
  </si>
  <si>
    <t>7277125-5</t>
  </si>
  <si>
    <t>MEMBRANE SWITCH BEZEL</t>
  </si>
  <si>
    <t>A147448-5</t>
  </si>
  <si>
    <t>OVERLAY, READING LIGHT</t>
  </si>
  <si>
    <t>MS24693-2B</t>
  </si>
  <si>
    <t>Screw, Flat Head, Full Thd, #4-40, Cres, 80 ksi, General</t>
  </si>
  <si>
    <t>SMR-04V-B</t>
  </si>
  <si>
    <t>RECEPTACLE, HOUSING</t>
  </si>
  <si>
    <t>03-06-2023</t>
  </si>
  <si>
    <t>CONNECTOR, PLUG</t>
  </si>
  <si>
    <t>M24308-26-1F</t>
  </si>
  <si>
    <t>CONNECTORS FEM SCREWLOCK</t>
  </si>
  <si>
    <t>BACKSHELL, 90 DEGREE</t>
  </si>
  <si>
    <t>MS25036-144</t>
  </si>
  <si>
    <t>TERMINAL LUG</t>
  </si>
  <si>
    <t>CONNECTOR, PLUG, ELECTRIC</t>
  </si>
  <si>
    <t>SMP-04V-BC</t>
  </si>
  <si>
    <t>CONNECTOR PLUG</t>
  </si>
  <si>
    <t>MS21266-1N</t>
  </si>
  <si>
    <t>GROMMET, PLASTIC, EDGING</t>
  </si>
  <si>
    <t>MS3367-4-9</t>
  </si>
  <si>
    <t>STRAP, TIE DOWN</t>
  </si>
  <si>
    <t>STRAP, TIEDOWN, ELECTRICAL COMPONENTS, ADJUSTABLE, SELF-CLINCHING, PLASTIC, TYPE I, CLASS I</t>
  </si>
  <si>
    <t>CABLE TIE</t>
  </si>
  <si>
    <t>MS35338-138</t>
  </si>
  <si>
    <t>Washer, Lock Spring, #10, Cres, Passivate, General</t>
  </si>
  <si>
    <t>MS51958-59</t>
  </si>
  <si>
    <t>Screw, Pan Head, Full Thd (UNF-2A), #10-32, Cres, 80 ksi, General</t>
  </si>
  <si>
    <t>NAS1149C0332R</t>
  </si>
  <si>
    <t>Washer, Flat, #10, Cres, Passivate, General</t>
  </si>
  <si>
    <t>RIVNUT, #6-32</t>
  </si>
  <si>
    <t>SPACER</t>
  </si>
  <si>
    <t>KICKSTRIP</t>
  </si>
  <si>
    <t>H081154-1</t>
  </si>
  <si>
    <t>RETAINER, COAT HOOK</t>
  </si>
  <si>
    <t>H081174-501</t>
  </si>
  <si>
    <t>INSERT ASSY,  HANDLE, L1</t>
  </si>
  <si>
    <t>H081174-1</t>
  </si>
  <si>
    <t>INSERT HANDLE, L1</t>
  </si>
  <si>
    <t>NAS1394-3L</t>
  </si>
  <si>
    <t>INSERT THREADED</t>
  </si>
  <si>
    <t>FLOOR FITTING</t>
  </si>
  <si>
    <t>Insert, Blind Thd, 90 deg csk, #6-32, Steel, Cad Plate, General</t>
  </si>
  <si>
    <t>CDSP5905-08-10</t>
  </si>
  <si>
    <t>Insert, Blind Thd, 90 deg csk, #8-32, Steel, Cad Plate, General</t>
  </si>
  <si>
    <t>CDSP5905-08-13</t>
  </si>
  <si>
    <t>INSERT, BLIND THREADED, CSK</t>
  </si>
  <si>
    <t>CDSP5905-3-10</t>
  </si>
  <si>
    <t>Insert, Blind Thd, 90 deg csk, #10-32, Steel, Cad Plate, General</t>
  </si>
  <si>
    <t>CONDUIT, ELECTRICAL</t>
  </si>
  <si>
    <t>INSERT, BLIND THD, #4-40, STEEL, CAD PLATE, GENERAL</t>
  </si>
  <si>
    <t>Insert, Thru Hole, #10-32, Steel, Cad Plate, General</t>
  </si>
  <si>
    <t>CDSP5905-08-28</t>
  </si>
  <si>
    <t>CDSP5905-3-28</t>
  </si>
  <si>
    <t>CDSP5906-3-1000</t>
  </si>
  <si>
    <t>INSERT, THRU THREADED</t>
  </si>
  <si>
    <t>STAB-IN ASSY</t>
  </si>
  <si>
    <t>MS21042-3</t>
  </si>
  <si>
    <t>NAS517-3-1</t>
  </si>
  <si>
    <t>Screw, Flat Head, Grip, #10-32, Alloy Steel, 160 ksi, Structural</t>
  </si>
  <si>
    <t>CDSP1047-1</t>
  </si>
  <si>
    <t>LATCH, DOUBLE PADDLE, SMALL, E2</t>
  </si>
  <si>
    <t>CDSP1501-3</t>
  </si>
  <si>
    <t>TORSION SPRING</t>
  </si>
  <si>
    <t>PIN, HINGE</t>
  </si>
  <si>
    <t>MS21318-14</t>
  </si>
  <si>
    <t>Rivet, Drive Screw, Round Head, #2, Steel, Cad Plate, General</t>
  </si>
  <si>
    <t>NAS514P832-4</t>
  </si>
  <si>
    <t>H123301-501</t>
  </si>
  <si>
    <t>ASSIST HANDLE, ASSY</t>
  </si>
  <si>
    <t>H123301-1</t>
  </si>
  <si>
    <t>ASSIST HANDLE</t>
  </si>
  <si>
    <t>H123301-3</t>
  </si>
  <si>
    <t>CUP FITTING, ASSIST HANDLE</t>
  </si>
  <si>
    <t>BRACKET DETAIL, L</t>
  </si>
  <si>
    <t>H641247-527</t>
  </si>
  <si>
    <t>BRACKET ASSY, L</t>
  </si>
  <si>
    <t>H641139-27</t>
  </si>
  <si>
    <t>H642180-5</t>
  </si>
  <si>
    <t>VELCRO DUAL LOCK  .750"</t>
  </si>
  <si>
    <t>BRACKET ASSY</t>
  </si>
  <si>
    <t>VELCRO DUAL LOCK , 750"</t>
  </si>
  <si>
    <t>NAS603-6P</t>
  </si>
  <si>
    <t>NAS603-8P</t>
  </si>
  <si>
    <t>NAS1149F0363P</t>
  </si>
  <si>
    <t>NAS514P832-10</t>
  </si>
  <si>
    <t>NAS514P832-8</t>
  </si>
  <si>
    <t>|       |       |       |       └A147448-5</t>
  </si>
  <si>
    <t>|       |       └NAS1149C0332R</t>
  </si>
  <si>
    <t>|       |       |       |       └CDSP5905-08-10</t>
  </si>
  <si>
    <t>|       |       |       |       └CDSP5905-3-10</t>
  </si>
  <si>
    <t>|       |       |       |       └MS20426AD3-3</t>
  </si>
  <si>
    <t>|       └NAS514P832-5</t>
  </si>
  <si>
    <t>AAA REV NC</t>
  </si>
  <si>
    <t>Revision</t>
  </si>
  <si>
    <t>G</t>
  </si>
  <si>
    <t>H</t>
  </si>
  <si>
    <t>J</t>
  </si>
  <si>
    <t>K</t>
  </si>
  <si>
    <t>L</t>
  </si>
  <si>
    <t>M</t>
  </si>
  <si>
    <t>N</t>
  </si>
  <si>
    <t>P</t>
  </si>
  <si>
    <t>R</t>
  </si>
  <si>
    <t>T</t>
  </si>
  <si>
    <t>U</t>
  </si>
  <si>
    <t>V</t>
  </si>
  <si>
    <t>Y</t>
  </si>
  <si>
    <t>AA</t>
  </si>
  <si>
    <t>AB</t>
  </si>
  <si>
    <t>AC</t>
  </si>
  <si>
    <t>AD</t>
  </si>
  <si>
    <t>AE</t>
  </si>
  <si>
    <t>AF</t>
  </si>
  <si>
    <t>AG</t>
  </si>
  <si>
    <t>AH</t>
  </si>
  <si>
    <t>AJ</t>
  </si>
  <si>
    <t>AK</t>
  </si>
  <si>
    <t>AL</t>
  </si>
  <si>
    <t>AM</t>
  </si>
  <si>
    <t>AN</t>
  </si>
  <si>
    <t>AP</t>
  </si>
  <si>
    <t>AR</t>
  </si>
  <si>
    <t>AT</t>
  </si>
  <si>
    <t>AU</t>
  </si>
  <si>
    <t>AV</t>
  </si>
  <si>
    <t>AW</t>
  </si>
  <si>
    <t>AY</t>
  </si>
  <si>
    <t>BA</t>
  </si>
  <si>
    <t>BB</t>
  </si>
  <si>
    <t>BC</t>
  </si>
  <si>
    <t>BD</t>
  </si>
  <si>
    <t>BE</t>
  </si>
  <si>
    <t>BF</t>
  </si>
  <si>
    <t>BG</t>
  </si>
  <si>
    <t>BH</t>
  </si>
  <si>
    <t>BJ</t>
  </si>
  <si>
    <t>BK</t>
  </si>
  <si>
    <t>BL</t>
  </si>
  <si>
    <t>BM</t>
  </si>
  <si>
    <t>BN</t>
  </si>
  <si>
    <t>BP</t>
  </si>
  <si>
    <t>BR</t>
  </si>
  <si>
    <t>BT</t>
  </si>
  <si>
    <t>BU</t>
  </si>
  <si>
    <t>BV</t>
  </si>
  <si>
    <t>BW</t>
  </si>
  <si>
    <t>BY</t>
  </si>
  <si>
    <t>CA</t>
  </si>
  <si>
    <t>CB</t>
  </si>
  <si>
    <t>CC</t>
  </si>
  <si>
    <t>CD</t>
  </si>
  <si>
    <t>CE</t>
  </si>
  <si>
    <t>CF</t>
  </si>
  <si>
    <t>CG</t>
  </si>
  <si>
    <t>CH</t>
  </si>
  <si>
    <t>CJ</t>
  </si>
  <si>
    <t>CK</t>
  </si>
  <si>
    <t>CL</t>
  </si>
  <si>
    <t>CM</t>
  </si>
  <si>
    <t>CN</t>
  </si>
  <si>
    <t>CP</t>
  </si>
  <si>
    <t>CR</t>
  </si>
  <si>
    <t>CT</t>
  </si>
  <si>
    <t>CU</t>
  </si>
  <si>
    <t>CV</t>
  </si>
  <si>
    <t>CW</t>
  </si>
  <si>
    <t>CY</t>
  </si>
  <si>
    <t>DA</t>
  </si>
  <si>
    <t>DB</t>
  </si>
  <si>
    <t>DC</t>
  </si>
  <si>
    <t>DD</t>
  </si>
  <si>
    <t>DE</t>
  </si>
  <si>
    <t>DF</t>
  </si>
  <si>
    <t>DG</t>
  </si>
  <si>
    <t>DH</t>
  </si>
  <si>
    <t>DJ</t>
  </si>
  <si>
    <t>DK</t>
  </si>
  <si>
    <t>DL</t>
  </si>
  <si>
    <t>DM</t>
  </si>
  <si>
    <t>DN</t>
  </si>
  <si>
    <t>DP</t>
  </si>
  <si>
    <t>DR</t>
  </si>
  <si>
    <t>DT</t>
  </si>
  <si>
    <t>DU</t>
  </si>
  <si>
    <t>DV</t>
  </si>
  <si>
    <t>DW</t>
  </si>
  <si>
    <t>DY</t>
  </si>
  <si>
    <t>EA</t>
  </si>
  <si>
    <t>EB</t>
  </si>
  <si>
    <t>EC</t>
  </si>
  <si>
    <t>ED</t>
  </si>
  <si>
    <t>EE</t>
  </si>
  <si>
    <t>EF</t>
  </si>
  <si>
    <t>EG</t>
  </si>
  <si>
    <t>EH</t>
  </si>
  <si>
    <t>EJ</t>
  </si>
  <si>
    <t>EK</t>
  </si>
  <si>
    <t>EL</t>
  </si>
  <si>
    <t>EM</t>
  </si>
  <si>
    <t>EN</t>
  </si>
  <si>
    <t>EP</t>
  </si>
  <si>
    <t>ER</t>
  </si>
  <si>
    <t>ET</t>
  </si>
  <si>
    <t>EU</t>
  </si>
  <si>
    <t>EV</t>
  </si>
  <si>
    <t>EW</t>
  </si>
  <si>
    <t>EY</t>
  </si>
  <si>
    <t>AFT CEILING</t>
  </si>
  <si>
    <t>CLASS DIVIDER LH</t>
  </si>
  <si>
    <t>CLASS DIVIDER RH</t>
  </si>
  <si>
    <t>CURTAIN</t>
  </si>
  <si>
    <t>DADO PANEL</t>
  </si>
  <si>
    <t>DOOR LINER</t>
  </si>
  <si>
    <t>DOOR SURROUND</t>
  </si>
  <si>
    <t>ENTRY CEILING</t>
  </si>
  <si>
    <t>FLOOR CARPET</t>
  </si>
  <si>
    <t>FLOOR MAT</t>
  </si>
  <si>
    <t>GALLEY G119</t>
  </si>
  <si>
    <t>GALLEY G138</t>
  </si>
  <si>
    <t>GALLEY G220</t>
  </si>
  <si>
    <t>GALLEY G235</t>
  </si>
  <si>
    <t>GALLEY G5</t>
  </si>
  <si>
    <t>LAVATORY L1</t>
  </si>
  <si>
    <t>LAVATORY L4</t>
  </si>
  <si>
    <t>LAVATORY L5</t>
  </si>
  <si>
    <t>LENS COVER</t>
  </si>
  <si>
    <t>MAIN CEILING</t>
  </si>
  <si>
    <t>MINI-MONUMENT 2L</t>
  </si>
  <si>
    <t>MINI-MONUMENT 2R</t>
  </si>
  <si>
    <t>MOVABLE CLASS DIVIDER</t>
  </si>
  <si>
    <t>OHBIN</t>
  </si>
  <si>
    <t>OWE SIDEWALL</t>
  </si>
  <si>
    <t>OWE SURROUND</t>
  </si>
  <si>
    <t>SEAT TRACK COVER</t>
  </si>
  <si>
    <t>SIDEWALL</t>
  </si>
  <si>
    <t>STOWAGE S210</t>
  </si>
  <si>
    <t>STOWAGE S214</t>
  </si>
  <si>
    <t>STOWAGE S215</t>
  </si>
  <si>
    <t>STOWAGE S220</t>
  </si>
  <si>
    <t>WARDROBE W214</t>
  </si>
  <si>
    <t>WARDROBE W230</t>
  </si>
  <si>
    <t>WINDSCREEN W2 LH</t>
  </si>
  <si>
    <t>WINDSCREEN W2 RH</t>
  </si>
  <si>
    <t>WINDSCREEN W4 LH</t>
  </si>
  <si>
    <t>WINDSCREEN W4 RH</t>
  </si>
  <si>
    <t>FULL GALLEY G5</t>
  </si>
  <si>
    <t>STOWAGE S434</t>
  </si>
  <si>
    <t>UNIT ECCN: EAR99</t>
  </si>
  <si>
    <t>TECHNICAL DATA
 ECCN: EAR99</t>
  </si>
  <si>
    <t>H088009-101</t>
  </si>
  <si>
    <t>197-75237-449</t>
  </si>
  <si>
    <t>AAH</t>
  </si>
  <si>
    <t>N/A</t>
  </si>
  <si>
    <t>INSTL KIT, LAVATORY, DB SEAT, FWD</t>
  </si>
  <si>
    <t>H083001-127</t>
  </si>
  <si>
    <t>AAE</t>
  </si>
  <si>
    <t>EAAC
EAAJ
EAAJ
EBAD
EAAC</t>
  </si>
  <si>
    <t>TF1
TF2
TF3
TF4
TF5</t>
  </si>
  <si>
    <t>LAVATORY ASSY, L1, AFT SPLIT</t>
  </si>
  <si>
    <t>H061201-527</t>
  </si>
  <si>
    <t>SWITCH ASST, LAV DOOR</t>
  </si>
  <si>
    <t>CDSP1120-6</t>
  </si>
  <si>
    <t>BREAK-AWAY STRIKER</t>
  </si>
  <si>
    <t>H061106-11</t>
  </si>
  <si>
    <t>SPRING CLIP</t>
  </si>
  <si>
    <t>H061135-11</t>
  </si>
  <si>
    <t>SLIDE</t>
  </si>
  <si>
    <t>H061135-13</t>
  </si>
  <si>
    <t>SLIDE BRACKET</t>
  </si>
  <si>
    <t>H083701-501</t>
  </si>
  <si>
    <t>WIRE HARNESS ASSY LAV DOOR SWITCH</t>
  </si>
  <si>
    <t>48-7190</t>
  </si>
  <si>
    <t>SPLICE CONNECTOR, PLUG</t>
  </si>
  <si>
    <t>48-7191</t>
  </si>
  <si>
    <t>SPLICE CONNECTOR, RECEPTACLE</t>
  </si>
  <si>
    <t>H061138-1</t>
  </si>
  <si>
    <t>SUPPORT, WIRE</t>
  </si>
  <si>
    <t>M8805/109-01</t>
  </si>
  <si>
    <t>SWITCH</t>
  </si>
  <si>
    <t>MS20426AD3-4</t>
  </si>
  <si>
    <t>Rivet, Flat Head, Solid, 3.32, Al 2117-T4, Chem Film, General</t>
  </si>
  <si>
    <t>MS20426AD3-5</t>
  </si>
  <si>
    <t>MS21042-02</t>
  </si>
  <si>
    <t>Nut, Hex, Self Locking, Alloy Steel, 160 ksi, Structural</t>
  </si>
  <si>
    <t>NAS662-2-10</t>
  </si>
  <si>
    <t>SCREW, MACHINE, FLATHEAD 100 DEGREE HEAD, PLAIN AND SELF-LOCKING</t>
  </si>
  <si>
    <t>NAS662-2-5</t>
  </si>
  <si>
    <t>H081157-13</t>
  </si>
  <si>
    <t>STRIKER</t>
  </si>
  <si>
    <t>H081158-7</t>
  </si>
  <si>
    <t>CHANNEL</t>
  </si>
  <si>
    <t>H082212-501</t>
  </si>
  <si>
    <t>SUPPORT, THRESHOLD ASSY</t>
  </si>
  <si>
    <t>H061149-1</t>
  </si>
  <si>
    <t>SUPPORT, THRESHOLD</t>
  </si>
  <si>
    <t>NAS1330A08K106</t>
  </si>
  <si>
    <t>Rivnut, CSK Head, #8-32, Aluminum, Keyed, Open</t>
  </si>
  <si>
    <t>H083001-501</t>
  </si>
  <si>
    <t>CEILING INSTL, L1</t>
  </si>
  <si>
    <t>9341362-1</t>
  </si>
  <si>
    <t>RETAINER</t>
  </si>
  <si>
    <t>CDSP5501-025</t>
  </si>
  <si>
    <t>SPACER, .250" THK</t>
  </si>
  <si>
    <t>D516072-501</t>
  </si>
  <si>
    <t>HINGE ASSY</t>
  </si>
  <si>
    <t>CDSP5816-14</t>
  </si>
  <si>
    <t>TYPE U, DRIVE SCREW, ZINC PLATED, HEAT TREATED</t>
  </si>
  <si>
    <t>D512707-1</t>
  </si>
  <si>
    <t>HINGE HALF, DROP DOWN INSERT</t>
  </si>
  <si>
    <t>D512882-1</t>
  </si>
  <si>
    <t>HINGE, DROP DOWN INSERT</t>
  </si>
  <si>
    <t>MS20253-2-168</t>
  </si>
  <si>
    <t>PIN (0.089 DIA, 1.68 LG)</t>
  </si>
  <si>
    <t>H081030-503</t>
  </si>
  <si>
    <t>EAAC</t>
  </si>
  <si>
    <t>PANEL ASSY, DOOR CEILING, L1, LH</t>
  </si>
  <si>
    <t>9014084-3</t>
  </si>
  <si>
    <t>LATCH HOOK</t>
  </si>
  <si>
    <t>9158109-501</t>
  </si>
  <si>
    <t>PSU CLIP LATCH</t>
  </si>
  <si>
    <t>9158109-1</t>
  </si>
  <si>
    <t>LATCH BAR</t>
  </si>
  <si>
    <t>9158109-601</t>
  </si>
  <si>
    <t>BACK PLATE ASSY</t>
  </si>
  <si>
    <t>6035-04BR135</t>
  </si>
  <si>
    <t>INSERT, ULTRASONIC, #4-40 X .135 LG</t>
  </si>
  <si>
    <t>9158109-3</t>
  </si>
  <si>
    <t>BACK PLATE</t>
  </si>
  <si>
    <t>DST3881</t>
  </si>
  <si>
    <t>MS9486-19</t>
  </si>
  <si>
    <t>PIN</t>
  </si>
  <si>
    <t>9341316-5</t>
  </si>
  <si>
    <t>BRACKET</t>
  </si>
  <si>
    <t>94975A326</t>
  </si>
  <si>
    <t>QUICK RELEASE CABLE</t>
  </si>
  <si>
    <t>H081030-603</t>
  </si>
  <si>
    <t>PANEL SUBASSY, DOOR CEILING, L1, LH</t>
  </si>
  <si>
    <t>CDSP5905-3-13</t>
  </si>
  <si>
    <t>H081030-3</t>
  </si>
  <si>
    <t>PANEL, DOOR CEILING, L1, LH</t>
  </si>
  <si>
    <t>H274503-1</t>
  </si>
  <si>
    <t>SPEAKER HOUSING</t>
  </si>
  <si>
    <t>H274503-3</t>
  </si>
  <si>
    <t>SPEAKER GRILL, CLOSEOUT PLATE</t>
  </si>
  <si>
    <t>MS35206-212</t>
  </si>
  <si>
    <t>Screw, Pan Head, Full Thd (UNC-2A), #4-40, Steel, 60 ksi, General</t>
  </si>
  <si>
    <t>MS35207-261</t>
  </si>
  <si>
    <t>SCREW #10-32 x .375 LG</t>
  </si>
  <si>
    <t>MS51958-60</t>
  </si>
  <si>
    <t>NAS1149FN432P</t>
  </si>
  <si>
    <t>Washer, Flat, #4, Steel, Cad Plate, General</t>
  </si>
  <si>
    <t>SCREW, FLAT HEAD, FULL THREADED</t>
  </si>
  <si>
    <t>MS35207-264</t>
  </si>
  <si>
    <t>Screw, Pan Head, Full Thd (UNF-2A), #10-32, Steel, 60 ksi, General</t>
  </si>
  <si>
    <t>H083003-503</t>
  </si>
  <si>
    <t>FOAM AND ASSIST HANDLE INSTL</t>
  </si>
  <si>
    <t>H081116-7</t>
  </si>
  <si>
    <t>DOUBLER</t>
  </si>
  <si>
    <t>H081167-507</t>
  </si>
  <si>
    <t>SPACER, ASSY, HAND SET</t>
  </si>
  <si>
    <t>CDSP5904-3-1000</t>
  </si>
  <si>
    <t>Insert, Thru Hole, CSK, #10-32, Steel, Cad Plate, General</t>
  </si>
  <si>
    <t>H081167-7</t>
  </si>
  <si>
    <t>SPACER, HAND SET</t>
  </si>
  <si>
    <t>H081201-519</t>
  </si>
  <si>
    <t>SPACER ASSY, EXIT SIGN</t>
  </si>
  <si>
    <t>H082301-7</t>
  </si>
  <si>
    <t>SPACER, EXIT SIGN</t>
  </si>
  <si>
    <t>H082170-3</t>
  </si>
  <si>
    <t>FOAM, COLD DOOR L1</t>
  </si>
  <si>
    <t>H082171-3</t>
  </si>
  <si>
    <t>H082172-3</t>
  </si>
  <si>
    <t>H082173-3</t>
  </si>
  <si>
    <t>H082211-501</t>
  </si>
  <si>
    <t>SPACER, ASSY, AMS GRILL</t>
  </si>
  <si>
    <t>CDSP5904-3-980</t>
  </si>
  <si>
    <t>H082188-1</t>
  </si>
  <si>
    <t>SPACER, AMS VENT GRILL</t>
  </si>
  <si>
    <t>MS35207-266</t>
  </si>
  <si>
    <t>NAS1149G0332P</t>
  </si>
  <si>
    <t>Washer, Flat, #10, Alloy Steel, Cad Plate, Structural</t>
  </si>
  <si>
    <t>NAS517-3-13</t>
  </si>
  <si>
    <t>NAS517-3-15</t>
  </si>
  <si>
    <t>NAS623-3-14</t>
  </si>
  <si>
    <t>Screw, Pan Head, Grip / Short Thd, #10-32, Alloy Steel, 160 ksi, Structural</t>
  </si>
  <si>
    <t>H083004-517</t>
  </si>
  <si>
    <t>BONDED STRUCTURE AFT, L1, LH, DB SEAT</t>
  </si>
  <si>
    <t>CDSP2210-501</t>
  </si>
  <si>
    <t>SPLIT BLOCK ASSY, 1/2" PANEL</t>
  </si>
  <si>
    <t>CDSP2210-1</t>
  </si>
  <si>
    <t>SPLIT BLOCK 1/2"</t>
  </si>
  <si>
    <t>CDSP2211-1</t>
  </si>
  <si>
    <t>DOUBLER, SPLIT BLOCK</t>
  </si>
  <si>
    <t>H061070-1</t>
  </si>
  <si>
    <t>PANEL REINFORCE, FLOOR SUPPORT</t>
  </si>
  <si>
    <t>H072131-7</t>
  </si>
  <si>
    <t>BUSHING, LWR ATCH, ADJUSTABLE</t>
  </si>
  <si>
    <t>H081031-521</t>
  </si>
  <si>
    <t>PANEL ASSY, INBD, AFT SECTION, L1, LH</t>
  </si>
  <si>
    <t>H061201-505</t>
  </si>
  <si>
    <t>H065009-7</t>
  </si>
  <si>
    <t>NAS1330Z08K106</t>
  </si>
  <si>
    <t>10</t>
  </si>
  <si>
    <t>Rivnut, CSK Head, #8-32, Zinc Plated Carbon Steel, Keyed Open End</t>
  </si>
  <si>
    <t>H061300-504</t>
  </si>
  <si>
    <t>AKS4-832-80L</t>
  </si>
  <si>
    <t>RIVNUT, #8-32</t>
  </si>
  <si>
    <t>H065009-12</t>
  </si>
  <si>
    <t>STAB-IN CHANNEL</t>
  </si>
  <si>
    <t>H081031-621</t>
  </si>
  <si>
    <t>PANEL SUBASSY, INBD, AFT SECTION, L1, LH</t>
  </si>
  <si>
    <t>CDSP5905-3-20</t>
  </si>
  <si>
    <t>H081031-21</t>
  </si>
  <si>
    <t>PANEL, INBD, AFT SECTION L1, LH</t>
  </si>
  <si>
    <t>H081279-501</t>
  </si>
  <si>
    <t>H082009-15</t>
  </si>
  <si>
    <t>H081034-501</t>
  </si>
  <si>
    <t>PANEL ASSY, FLOOR, AFT SECTION, L1, LH</t>
  </si>
  <si>
    <t>CDSP5905-3-12</t>
  </si>
  <si>
    <t>CDSP5907-3-3</t>
  </si>
  <si>
    <t>INSERT, BLIND THREADED, FLOATING</t>
  </si>
  <si>
    <t>CDSP5907-4C3</t>
  </si>
  <si>
    <t>Insert, Blind Thd, Floating, Small, 1/4-28, CRES 303, General</t>
  </si>
  <si>
    <t>H081034-1</t>
  </si>
  <si>
    <t>PANEL, FLOOR, AFT SECTION, L1, LH</t>
  </si>
  <si>
    <t>H081041-501</t>
  </si>
  <si>
    <t>PANEL ASSY, FLOOR SUPPORT</t>
  </si>
  <si>
    <t>CDSP5905C3-13M</t>
  </si>
  <si>
    <t>H081041-1</t>
  </si>
  <si>
    <t>PANEL, FLOOR SUPPORT</t>
  </si>
  <si>
    <t>H081051-503</t>
  </si>
  <si>
    <t>PANEL ASSY, OUTBD, AFT SECTION L1, LH</t>
  </si>
  <si>
    <t>CDSP5905-08-12</t>
  </si>
  <si>
    <t>H081051-3</t>
  </si>
  <si>
    <t>PANEL, OUTBD 2, AFT SECTION, L1, LH</t>
  </si>
  <si>
    <t>H081074-501</t>
  </si>
  <si>
    <t>CDSP5905C3-10</t>
  </si>
  <si>
    <t>Insert, Blind Thd, 90 deg csk, #10-32, CRES 303, General</t>
  </si>
  <si>
    <t>H081074-1</t>
  </si>
  <si>
    <t>H081075-3</t>
  </si>
  <si>
    <t>H081081-509</t>
  </si>
  <si>
    <t>EAAC
EAAC</t>
  </si>
  <si>
    <t>PANEL ASSY, OUTBD, AFT, LH, L1</t>
  </si>
  <si>
    <t>H081033-505</t>
  </si>
  <si>
    <t>PANEL ASSY, OUTBD, AFT SECTION, L1, LH</t>
  </si>
  <si>
    <t>CDSP5905-06-10</t>
  </si>
  <si>
    <t>H081033-5</t>
  </si>
  <si>
    <t>PANEL, OUTBD, AFT SECTION, L1, LH</t>
  </si>
  <si>
    <t>H081061-509</t>
  </si>
  <si>
    <t>CDSP5907-08-3</t>
  </si>
  <si>
    <t>H081061-9</t>
  </si>
  <si>
    <t>H081103-1</t>
  </si>
  <si>
    <t>DOUBLER, FLOOR FITTING, AMS VENT</t>
  </si>
  <si>
    <t>H081106-7</t>
  </si>
  <si>
    <t>DLBR BOTTOM FITTING, FWD</t>
  </si>
  <si>
    <t>H081107-3</t>
  </si>
  <si>
    <t>DLBR BOTTOM FITTING, FWD-CKPT BHD</t>
  </si>
  <si>
    <t>H081108-9</t>
  </si>
  <si>
    <t>DOUBLER, SPLIT BLOCK, L1</t>
  </si>
  <si>
    <t>H081115-3</t>
  </si>
  <si>
    <t>DOUBLER REFORCE LATCH, L1, LH</t>
  </si>
  <si>
    <t>H081115-5</t>
  </si>
  <si>
    <t>DOUBLER REFORCE FLOOR, L1, LH</t>
  </si>
  <si>
    <t>H081116-5</t>
  </si>
  <si>
    <t>DOUBLER, CAS</t>
  </si>
  <si>
    <t>H081126-1</t>
  </si>
  <si>
    <t>DOUBLER, LAVATORY ASSY, L1</t>
  </si>
  <si>
    <t>H081133-1</t>
  </si>
  <si>
    <t>FLOOR FITTING, AMS VENT, L1, LH</t>
  </si>
  <si>
    <t>H081138-1</t>
  </si>
  <si>
    <t>DOUBLER RESTRAINT, LAVATORY ASSY, L1</t>
  </si>
  <si>
    <t>H081138-3</t>
  </si>
  <si>
    <t>H081153-1</t>
  </si>
  <si>
    <t>UPPER FITTING, FWD, L1, LH</t>
  </si>
  <si>
    <t>H081155-1</t>
  </si>
  <si>
    <t>UPPER FITTING, AFT SECTION</t>
  </si>
  <si>
    <t>H081176-3</t>
  </si>
  <si>
    <t>H081202-509</t>
  </si>
  <si>
    <t>DOUBLER ASSY, SINGLE ATTACH, L1, LH</t>
  </si>
  <si>
    <t>H081116-3</t>
  </si>
  <si>
    <t>DOUBLER, SINGLE ATTACH, L1, LH</t>
  </si>
  <si>
    <t>NAS1791C3-3</t>
  </si>
  <si>
    <t>Nut Plate, Two Lug, Floating .03r min, #10-32, Cres A286, 125 ksi, Extra Floating, General</t>
  </si>
  <si>
    <t>H081254-501</t>
  </si>
  <si>
    <t>DOUBLER ASSY, FOUR ATTACHMENTS</t>
  </si>
  <si>
    <t>H081102-3</t>
  </si>
  <si>
    <t>DOUBLER, FOUR ATTACHMENTS, L1</t>
  </si>
  <si>
    <t>H081255-501</t>
  </si>
  <si>
    <t>DOUBLER ASSY, DOUBLE ATTACH</t>
  </si>
  <si>
    <t>H081102-7</t>
  </si>
  <si>
    <t>H081259-503</t>
  </si>
  <si>
    <t>SPLIT BLOCK, ASSY</t>
  </si>
  <si>
    <t>H082103-1</t>
  </si>
  <si>
    <t>SPLIT BLOCK</t>
  </si>
  <si>
    <t>H081312-1</t>
  </si>
  <si>
    <t>DOUBLER FWD LAV, AFT SECTION</t>
  </si>
  <si>
    <t>H081312-3</t>
  </si>
  <si>
    <t>DOUBLER PANEL REINFORCEMENT</t>
  </si>
  <si>
    <t>H082016-3</t>
  </si>
  <si>
    <t>PANEL, A/C DOOR RECCESS</t>
  </si>
  <si>
    <t>H082017-1</t>
  </si>
  <si>
    <t>PANEL</t>
  </si>
  <si>
    <t>H082032-517</t>
  </si>
  <si>
    <t>PANEL ASSY, AFT, L1, LH, DB SEAT</t>
  </si>
  <si>
    <t>CDSP4714-1-230</t>
  </si>
  <si>
    <t>CDSP4714-3-10</t>
  </si>
  <si>
    <t>CDSP4714-3-385</t>
  </si>
  <si>
    <t>CONDUIT</t>
  </si>
  <si>
    <t>CDSP4714-3-42</t>
  </si>
  <si>
    <t>CDSP4714-3-50</t>
  </si>
  <si>
    <t>H081132-9</t>
  </si>
  <si>
    <t>STIFFENER, REINFORCEMENT, L1, LH</t>
  </si>
  <si>
    <t>H081133-3</t>
  </si>
  <si>
    <t>H081170-3</t>
  </si>
  <si>
    <t>H082032-617</t>
  </si>
  <si>
    <t>PANEL SUBASSY, AFT, L1, LH, DB SEAT</t>
  </si>
  <si>
    <t>CDIN07-04-07</t>
  </si>
  <si>
    <t>CDIN07-04-12B</t>
  </si>
  <si>
    <t>CDIN07D3-07</t>
  </si>
  <si>
    <t>Insert, Blind Thd, #10-32, Alum, Cad Plate, General</t>
  </si>
  <si>
    <t>H082032-17</t>
  </si>
  <si>
    <t>PANEL, AFT, L1, LH, DB SEAT</t>
  </si>
  <si>
    <t>NAS1836-08-12</t>
  </si>
  <si>
    <t>Insert, blind threaded</t>
  </si>
  <si>
    <t>H082203-501</t>
  </si>
  <si>
    <t>STAB IN, ASSY, DUAL CAS, INBD SIDE</t>
  </si>
  <si>
    <t>AK32BS</t>
  </si>
  <si>
    <t>Rivet, Emhart, Flat Head, Blind, CSK 120 deg., .094, Al 5056-H34, General</t>
  </si>
  <si>
    <t>H082009-17</t>
  </si>
  <si>
    <t>STAB IN, DUAL CAS, INBD SIDE</t>
  </si>
  <si>
    <t>MS21059L3</t>
  </si>
  <si>
    <t>Nut Plate, Two Lug, Floating, #10-32, Alloy Steel, 125 ksi, General</t>
  </si>
  <si>
    <t>H082210-501</t>
  </si>
  <si>
    <t>STAB IN, ASSY, DUAL CAS, INBD SIDE, MIDDLE</t>
  </si>
  <si>
    <t>H082009-19</t>
  </si>
  <si>
    <t>STAB IN, DUAL CAS, INDB, MIDLE</t>
  </si>
  <si>
    <t>H082107-1</t>
  </si>
  <si>
    <t>DOUBLER SPLIT BLOCK, L1, LH</t>
  </si>
  <si>
    <t>H082113-1</t>
  </si>
  <si>
    <t>DOUBLER, FLOOR FITTING, WWS HOSE</t>
  </si>
  <si>
    <t>H082123-1</t>
  </si>
  <si>
    <t>H082124-1</t>
  </si>
  <si>
    <t>DOUBLER, CAS, INDB, MIDLE</t>
  </si>
  <si>
    <t>H082132-9</t>
  </si>
  <si>
    <t>H082133-1</t>
  </si>
  <si>
    <t>DOUBLER, FLIGHT ATT, L1, LH</t>
  </si>
  <si>
    <t>H082133-3</t>
  </si>
  <si>
    <t>DOUBLER, DB FLIGHT ATT L1</t>
  </si>
  <si>
    <t>H082158-1</t>
  </si>
  <si>
    <t>DOUBLER, STOWAGE BOX</t>
  </si>
  <si>
    <t>H082216-501</t>
  </si>
  <si>
    <t>DOUBLER, ASSY, WITH CRES NUT</t>
  </si>
  <si>
    <t>H082104-1</t>
  </si>
  <si>
    <t>DOUBLER, SINGLE ATTACH</t>
  </si>
  <si>
    <t>H082217-501</t>
  </si>
  <si>
    <t>DOUBLER, ASSY, TWO ATTACH, CRES NUT</t>
  </si>
  <si>
    <t>H081101-9</t>
  </si>
  <si>
    <t>DOUBLER, DOUBLE ATTACH</t>
  </si>
  <si>
    <t>MS16624-4062</t>
  </si>
  <si>
    <t>Retaining Ring, External, Basic, .625, Cres, Passivate, General</t>
  </si>
  <si>
    <t>NAS514P1032-6</t>
  </si>
  <si>
    <t>NAS517-3-0</t>
  </si>
  <si>
    <t>SCREW, FLAT HEAD, GRIP</t>
  </si>
  <si>
    <t>NAS603-10P</t>
  </si>
  <si>
    <t>SCREW, PAN HEAD, FULL THREADED</t>
  </si>
  <si>
    <t>H083005-513</t>
  </si>
  <si>
    <t>ELECTRICAL INSTL LAVATORY, DB SEAT, FWD</t>
  </si>
  <si>
    <t>820-000207-12C5</t>
  </si>
  <si>
    <t>STRIP LIGHT 12''</t>
  </si>
  <si>
    <t>820-000207-12C5-1</t>
  </si>
  <si>
    <t>28VDC STRIP LIGHT</t>
  </si>
  <si>
    <t>D369-P33-NP1</t>
  </si>
  <si>
    <t>CDEL101-87</t>
  </si>
  <si>
    <t>BRACKET, ELECTRICAL CONNECTOR</t>
  </si>
  <si>
    <t>CDEL1029-1</t>
  </si>
  <si>
    <t>CABLE TIE MOUNT, BONDED, 6MM</t>
  </si>
  <si>
    <t>CDEL1029-501</t>
  </si>
  <si>
    <t>CDEL1029-11</t>
  </si>
  <si>
    <t>CRADLE, TIE MOUNT, 16MM BUNDLE</t>
  </si>
  <si>
    <t>CDEL1029-23</t>
  </si>
  <si>
    <t>BASE, 35MM, BONDED</t>
  </si>
  <si>
    <t>CDEL1029-505</t>
  </si>
  <si>
    <t>CDEL1029-533</t>
  </si>
  <si>
    <t>CDPL136-GS53021</t>
  </si>
  <si>
    <t>CDPL136-J53025</t>
  </si>
  <si>
    <t>CDPL136-J53035</t>
  </si>
  <si>
    <t>CDPL136-J53051</t>
  </si>
  <si>
    <t>CDPL136-P53001</t>
  </si>
  <si>
    <t>CDPL136-P53008</t>
  </si>
  <si>
    <t>CDPL136-P53009</t>
  </si>
  <si>
    <t>CDPL136-P53011</t>
  </si>
  <si>
    <t>CDPL136-P53013</t>
  </si>
  <si>
    <t>CDPL136-P53014</t>
  </si>
  <si>
    <t>CDPL136-P53015</t>
  </si>
  <si>
    <t>CDPL136-P53019</t>
  </si>
  <si>
    <t>CDPL136-P53020</t>
  </si>
  <si>
    <t>CDPL136-P53025</t>
  </si>
  <si>
    <t>CDPL136-P53032</t>
  </si>
  <si>
    <t>CDPL136-P53033</t>
  </si>
  <si>
    <t>CDPL136-P53037</t>
  </si>
  <si>
    <t>CDPL136-P53050</t>
  </si>
  <si>
    <t>CDSP6601-8N-0395</t>
  </si>
  <si>
    <t>GROMMET, NYLON</t>
  </si>
  <si>
    <t>CDSP6601-8N-0416</t>
  </si>
  <si>
    <t>CDSP6601-8N-0628</t>
  </si>
  <si>
    <t>GROMMET FOR 2" CUT OUT</t>
  </si>
  <si>
    <t>CSCS</t>
  </si>
  <si>
    <t>SADLE TIE MOUNT</t>
  </si>
  <si>
    <t>H011238-5</t>
  </si>
  <si>
    <t>HOUSING, GALLEY LIGHT, 12 IN</t>
  </si>
  <si>
    <t>H041190-501</t>
  </si>
  <si>
    <t>BRACKET ASSY, GALLEY LIGHT</t>
  </si>
  <si>
    <t>320-000405-100</t>
  </si>
  <si>
    <t>CLIP, GALLEY LIGHT</t>
  </si>
  <si>
    <t>H011090-1</t>
  </si>
  <si>
    <t>BRACET, GALLEY LIGHT</t>
  </si>
  <si>
    <t>H082701-507</t>
  </si>
  <si>
    <t>WIRE HARNESS ASSY, AC, LAVATORY, FWD</t>
  </si>
  <si>
    <t>805-001-16M8-4PA</t>
  </si>
  <si>
    <t>ELECTRICAL CONNECTOR, PLUG</t>
  </si>
  <si>
    <t>809A060-1R</t>
  </si>
  <si>
    <t>HEAT SHRINKABLE BOOT, 90 DEGREE</t>
  </si>
  <si>
    <t>D38999-26MC8SN</t>
  </si>
  <si>
    <t>STRAIGHT PLUG, SELF LOCKING</t>
  </si>
  <si>
    <t>M85049-38-13A</t>
  </si>
  <si>
    <t>STRAIGHT BACKSHELL, STRAIN RELIEF SHELL SIZE 13</t>
  </si>
  <si>
    <t>H082703-505</t>
  </si>
  <si>
    <t>WIRE HARNESS ASSY, DC, LAVATORY, FWD</t>
  </si>
  <si>
    <t>202K121-25-225-0</t>
  </si>
  <si>
    <t>6</t>
  </si>
  <si>
    <t>BOOT, STRAIGHT WITH LIP</t>
  </si>
  <si>
    <t>48-7191-1</t>
  </si>
  <si>
    <t>RECEPTACLE, REMOVABLE SPLICE (RED)</t>
  </si>
  <si>
    <t>805-001-16M11-4PA</t>
  </si>
  <si>
    <t>H082705-525</t>
  </si>
  <si>
    <t>WIRE HARNESS ASSY, S, LAVATORY L1</t>
  </si>
  <si>
    <t>1658646-1</t>
  </si>
  <si>
    <t>CONNECTOR W/ BACKSHELL</t>
  </si>
  <si>
    <t>2-1241961-7</t>
  </si>
  <si>
    <t>CONNECTOR, ELECTRICAL</t>
  </si>
  <si>
    <t>222K121-25-225-0</t>
  </si>
  <si>
    <t>90 LIPPED HEAT SHRINK BOOT</t>
  </si>
  <si>
    <t>50845-1</t>
  </si>
  <si>
    <t>620MS064ZNU09</t>
  </si>
  <si>
    <t>BACKSHELL, STRAIGHT STRAIN RELIEF</t>
  </si>
  <si>
    <t>62187-2</t>
  </si>
  <si>
    <t>CONNECTOR, .187 FASTON</t>
  </si>
  <si>
    <t>770-003S105</t>
  </si>
  <si>
    <t>STRAIGHT SHRINK BOOT</t>
  </si>
  <si>
    <t>770-004S306W2</t>
  </si>
  <si>
    <t>HEAT SHRINK BOOT</t>
  </si>
  <si>
    <t>805-001-16M15-220PA</t>
  </si>
  <si>
    <t>805-004-02M11-19SA</t>
  </si>
  <si>
    <t>CONNECTOR, RECEPTACLE</t>
  </si>
  <si>
    <t>D110278-4</t>
  </si>
  <si>
    <t>SPRING LATCH X2</t>
  </si>
  <si>
    <t>D110278</t>
  </si>
  <si>
    <t>SPRING LATCH PLATE ASSY</t>
  </si>
  <si>
    <t>D369-R33-NS1</t>
  </si>
  <si>
    <t>D369-STB-3</t>
  </si>
  <si>
    <t>3 WAY BACKSHELL STRAIGHT TIE WRAP</t>
  </si>
  <si>
    <t>D38999-26FE35PN</t>
  </si>
  <si>
    <t>D38999-26MC35SN</t>
  </si>
  <si>
    <t>DA51220-1</t>
  </si>
  <si>
    <t>LOCK, CONNECTOR</t>
  </si>
  <si>
    <t>FMK5-K201</t>
  </si>
  <si>
    <t>BACKSHELL</t>
  </si>
  <si>
    <t>M24308-4-5F</t>
  </si>
  <si>
    <t>CONNECTOR, D-SUB</t>
  </si>
  <si>
    <t>M24308/2-2F</t>
  </si>
  <si>
    <t>CONNECTOR, ELECTRICAL, RECEPTACLE</t>
  </si>
  <si>
    <t>M24308/2-5F</t>
  </si>
  <si>
    <t>CONNECTOR, ELECTRICAL, MINIATURE, RECEPTACLE, STEEL</t>
  </si>
  <si>
    <t>M24308_2-3F</t>
  </si>
  <si>
    <t>M85049-48-2-3F</t>
  </si>
  <si>
    <t>STRAIN RELIEF</t>
  </si>
  <si>
    <t>M85049-85N16N02</t>
  </si>
  <si>
    <t>STRAIGHT BANDING BACKSHELL</t>
  </si>
  <si>
    <t>M85049-88-17N02</t>
  </si>
  <si>
    <t>Straight Banding Backshell</t>
  </si>
  <si>
    <t>M85049/50-2F</t>
  </si>
  <si>
    <t>SHELL SIZE: 2</t>
  </si>
  <si>
    <t>M85049/52-1-24N</t>
  </si>
  <si>
    <t>M8504952-1-16N</t>
  </si>
  <si>
    <t>M85049_39S13N</t>
  </si>
  <si>
    <t>MS25036-103</t>
  </si>
  <si>
    <t>MS25036-112</t>
  </si>
  <si>
    <t>MS25036-145</t>
  </si>
  <si>
    <t>MS25036-149</t>
  </si>
  <si>
    <t>MS27467T17F35P</t>
  </si>
  <si>
    <t>MS3476L16-23P</t>
  </si>
  <si>
    <t>CONNECTOR, PLUG, ELECTRICAL</t>
  </si>
  <si>
    <t>MS3476L24-61P</t>
  </si>
  <si>
    <t>H082760-517</t>
  </si>
  <si>
    <t>BONDING INSTALLATION, FWD LAVATORY, DB SEAT</t>
  </si>
  <si>
    <t>CDEL3005-501-00700</t>
  </si>
  <si>
    <t>CDEL3005-501-01000</t>
  </si>
  <si>
    <t>GROUND STRAP, 10"</t>
  </si>
  <si>
    <t>CDEL3006-10-HH1-004-1</t>
  </si>
  <si>
    <t>2-36161-4</t>
  </si>
  <si>
    <t>CDEL3006-10-HH1-017-1</t>
  </si>
  <si>
    <t>LUG</t>
  </si>
  <si>
    <t>CDPL136-GS53001</t>
  </si>
  <si>
    <t>CDPL136-GS53002</t>
  </si>
  <si>
    <t>CDPL136-GS53006</t>
  </si>
  <si>
    <t>CDPL136-GS53007</t>
  </si>
  <si>
    <t>CDPL136-GS53008</t>
  </si>
  <si>
    <t>CDPL136-GS53009</t>
  </si>
  <si>
    <t>CDPL136-GS53010</t>
  </si>
  <si>
    <t>CDPL136-GS53012</t>
  </si>
  <si>
    <t>CDPL136-GS53013</t>
  </si>
  <si>
    <t>CDPL136-GS53014</t>
  </si>
  <si>
    <t>CDPL136-GS53026</t>
  </si>
  <si>
    <t>H082701-1</t>
  </si>
  <si>
    <t>BONDING STRIP</t>
  </si>
  <si>
    <t>H082701-11</t>
  </si>
  <si>
    <t>H082701-3</t>
  </si>
  <si>
    <t>H082701-5</t>
  </si>
  <si>
    <t>H082701-7</t>
  </si>
  <si>
    <t>TIE-CABLE</t>
  </si>
  <si>
    <t>MS51958-61</t>
  </si>
  <si>
    <t>MS51958-62</t>
  </si>
  <si>
    <t>NAS8303-4</t>
  </si>
  <si>
    <t>SCREW, WSHR HD #10-32 X .25LG</t>
  </si>
  <si>
    <t>NAS8303-5</t>
  </si>
  <si>
    <t>SCREW, WASHER HEAD, FULL THREADED</t>
  </si>
  <si>
    <t>MS21042L02</t>
  </si>
  <si>
    <t>Nut, Hex, Self Locking, Low Height, #4-40 ~ 3/8-24, Alloy Steel, 160 ksi, Structural</t>
  </si>
  <si>
    <t>GROMMET, CATERPILLAR, NYLON, BASELINE CFG, 12.75" LENGTH</t>
  </si>
  <si>
    <t>GROMMET, CATERPILLAR, NYLON, BASELINE CFG, 4.10" LENGTH</t>
  </si>
  <si>
    <t>MS21266-5N</t>
  </si>
  <si>
    <t>GROMMET, PLASTIC EDGING</t>
  </si>
  <si>
    <t>MS21266-8N</t>
  </si>
  <si>
    <t>MS35206-204</t>
  </si>
  <si>
    <t>Screw, Pan Head, Full Thd (UNC-2A), #2-56, Steel, 60 ksi, General</t>
  </si>
  <si>
    <t>MS35206-242</t>
  </si>
  <si>
    <t>Screw, Pan Head, Full Thd (UNC-2A), #8-32, Steel, 60 ksi, General</t>
  </si>
  <si>
    <t>MS35206-243</t>
  </si>
  <si>
    <t>MS35338-42</t>
  </si>
  <si>
    <t>Washer, Lock Spring, #8, Steel, Cad Plate, General</t>
  </si>
  <si>
    <t>NAS1149F0316P</t>
  </si>
  <si>
    <t>NAS1149FN232P</t>
  </si>
  <si>
    <t>Washer, Flat, #2, Steel, Cad Plate, General</t>
  </si>
  <si>
    <t>NAS1149FN832P</t>
  </si>
  <si>
    <t>Washer, Flat, #8, Steel, Cad Plate, General</t>
  </si>
  <si>
    <t>NAS1368N6A</t>
  </si>
  <si>
    <t>GROMMET, FLIP TYPE, 3/8 DIA, NYLON 6/6, ELECTRICAL</t>
  </si>
  <si>
    <t>NAS1368N8A</t>
  </si>
  <si>
    <t>GROMMET</t>
  </si>
  <si>
    <t>NAS514P1032-8B</t>
  </si>
  <si>
    <t>Screw, Flat Head, Full Thd, #10-32, Alloy Steel, 125 ksi, General</t>
  </si>
  <si>
    <t>H083006-501</t>
  </si>
  <si>
    <t>CLAMP AND ACCESS COVER INSTL INSTL</t>
  </si>
  <si>
    <t>CDSP5501-020</t>
  </si>
  <si>
    <t>SPACER .20 LG</t>
  </si>
  <si>
    <t>CDSP5501-050</t>
  </si>
  <si>
    <t>H081134-1</t>
  </si>
  <si>
    <t>COVER, ELECTRICAL CONNECTOR ACCESS</t>
  </si>
  <si>
    <t>H081219-501</t>
  </si>
  <si>
    <t>ACCESS COVER ASSY, AIR EXTRACTION SYSTEM</t>
  </si>
  <si>
    <t>H081147-1</t>
  </si>
  <si>
    <t>COVER AIR</t>
  </si>
  <si>
    <t>NAS1368N16A</t>
  </si>
  <si>
    <t>Grommet, Flip Type, 1 Dia, Nylon 6/6, Electrical</t>
  </si>
  <si>
    <t>MS35206-245</t>
  </si>
  <si>
    <t>MS35206-248</t>
  </si>
  <si>
    <t>NMC1005-3</t>
  </si>
  <si>
    <t>CLAMP, OPEN DIA NOM SIZE .625 IN</t>
  </si>
  <si>
    <t>H083007-505</t>
  </si>
  <si>
    <t>BRACKET INSTL</t>
  </si>
  <si>
    <t>503634-0</t>
  </si>
  <si>
    <t>GROMMET STYLE BUMPER, SILICONE, STYLE ZB-3399, COLOR WHITE</t>
  </si>
  <si>
    <t>H061105-7</t>
  </si>
  <si>
    <t>BRACKET LATCH</t>
  </si>
  <si>
    <t>H061126-1</t>
  </si>
  <si>
    <t>H061208-505</t>
  </si>
  <si>
    <t>ASSY SUPPORT SHROUD TOILET</t>
  </si>
  <si>
    <t>H061181-3</t>
  </si>
  <si>
    <t>SEAL, TOILET SHROUD</t>
  </si>
  <si>
    <t>H061193-1</t>
  </si>
  <si>
    <t>SUPPORT SHROUD TOILET 2</t>
  </si>
  <si>
    <t>H061265-505</t>
  </si>
  <si>
    <t>BRACKET ASSY, TOILET SHROUD SUPPORT</t>
  </si>
  <si>
    <t>70586</t>
  </si>
  <si>
    <t>SPRING - CENTURY SPRINGS</t>
  </si>
  <si>
    <t>H061312-3</t>
  </si>
  <si>
    <t>BUMPER, TOILET SHROUD SUPPORT</t>
  </si>
  <si>
    <t>H062164-1</t>
  </si>
  <si>
    <t>SPACER, TOWER</t>
  </si>
  <si>
    <t>H065175-1</t>
  </si>
  <si>
    <t>BRACKET, LATCH SUPPORT</t>
  </si>
  <si>
    <t>H065177-1</t>
  </si>
  <si>
    <t>CLIP, TOILET SHROUD SUPPORT</t>
  </si>
  <si>
    <t>H065178-1</t>
  </si>
  <si>
    <t>SLIDER, LATCH</t>
  </si>
  <si>
    <t>H062163-1</t>
  </si>
  <si>
    <t>CLIP RETAINING, PCR-2401</t>
  </si>
  <si>
    <t>H081109-9</t>
  </si>
  <si>
    <t>BRACKET, AMENITY ATTACH</t>
  </si>
  <si>
    <t>H081119-7</t>
  </si>
  <si>
    <t>H081135-1</t>
  </si>
  <si>
    <t>STRIKE</t>
  </si>
  <si>
    <t>H081161-9</t>
  </si>
  <si>
    <t>BLOCK SUPPORT, LAVATORY ASSY, L1</t>
  </si>
  <si>
    <t>H111131-3</t>
  </si>
  <si>
    <t>TRIM DOOR</t>
  </si>
  <si>
    <t>H111204-501</t>
  </si>
  <si>
    <t>BRACKET SHROUD ASSY</t>
  </si>
  <si>
    <t>CDSP6702-3-02AS</t>
  </si>
  <si>
    <t>POP RIVET, COUNTERSUNK, .250 LG, 3/32 DIA</t>
  </si>
  <si>
    <t>H111204-1</t>
  </si>
  <si>
    <t>BRACKET SHROUD</t>
  </si>
  <si>
    <t>H111207-501</t>
  </si>
  <si>
    <t>H081165-9</t>
  </si>
  <si>
    <t>RUBSTRIP</t>
  </si>
  <si>
    <t>H111207-1</t>
  </si>
  <si>
    <t>MS35207-243</t>
  </si>
  <si>
    <t>SCREW, PAN HEAD, FULL THD (UNF-2A), #8-32, STEEL, 60 ksi, GENERAL</t>
  </si>
  <si>
    <t>MS51958-64</t>
  </si>
  <si>
    <t>NAS1149CN832R</t>
  </si>
  <si>
    <t>Washer, Flat, #8, Cres, Passivate, General</t>
  </si>
  <si>
    <t>NAS600-6P</t>
  </si>
  <si>
    <t>NAS603-4P</t>
  </si>
  <si>
    <t>NAS623-3-5</t>
  </si>
  <si>
    <t>H083008-501</t>
  </si>
  <si>
    <t>UPPER ATTACHMENT INSTL</t>
  </si>
  <si>
    <t>5620-179-31</t>
  </si>
  <si>
    <t>WASHER</t>
  </si>
  <si>
    <t>CDSP2126-3</t>
  </si>
  <si>
    <t>TIE ROD, DISTORTION LOCK, 8.7 IN</t>
  </si>
  <si>
    <t>TIE ROD, DISTORTION LOCK, 8.7 IN  - 9.6 DEG END ROTATION</t>
  </si>
  <si>
    <t>M81934/2-06C006P</t>
  </si>
  <si>
    <t>Bushing, Flanged, 3/8, Cres 17-4ph, Passivate, General</t>
  </si>
  <si>
    <t>MS20392-5C37</t>
  </si>
  <si>
    <t>Pin, Straight, Headed Drilled Shank, 3/8, Alloy Steel, Cad Plate, General</t>
  </si>
  <si>
    <t>MS24665-317</t>
  </si>
  <si>
    <t>Pin, Cotter (Split), 3/32,Brass, Black Chemical Finish, General</t>
  </si>
  <si>
    <t>NAS1149G0632P</t>
  </si>
  <si>
    <t>Washer, Flat, 3/8, Alloy Steel, Cad Plate, Structural</t>
  </si>
  <si>
    <t>H083009-503</t>
  </si>
  <si>
    <t>TRIM, SEAL AND POST INSTL</t>
  </si>
  <si>
    <t>CDSP5310-1-75BG</t>
  </si>
  <si>
    <t xml:space="preserve"> VELCRO HOOK 0.75" x 3.5"</t>
  </si>
  <si>
    <t xml:space="preserve"> VELCRO HOOK 0.75" x 8"</t>
  </si>
  <si>
    <t>H081206-507</t>
  </si>
  <si>
    <t>POST, UPPER, INSTL, L1</t>
  </si>
  <si>
    <t>CDPL136-GS53025</t>
  </si>
  <si>
    <t>H081141-5</t>
  </si>
  <si>
    <t>POST REINFORCEMENT, UPPER, L1</t>
  </si>
  <si>
    <t>H081145-1</t>
  </si>
  <si>
    <t>COVER, POST, L1</t>
  </si>
  <si>
    <t>H082162-1</t>
  </si>
  <si>
    <t>NAS8303-7</t>
  </si>
  <si>
    <t>H081206-509</t>
  </si>
  <si>
    <t>POST, CENTRAL, INSTL, L1</t>
  </si>
  <si>
    <t>CDPL136-GS53023</t>
  </si>
  <si>
    <t>CDPL136-GS53024</t>
  </si>
  <si>
    <t>H081141-1</t>
  </si>
  <si>
    <t>POST REINFORCEMENT, CENTRAL, L1</t>
  </si>
  <si>
    <t>H081151-1</t>
  </si>
  <si>
    <t>COVER, CENTRAL POST, L1</t>
  </si>
  <si>
    <t>H083009-5</t>
  </si>
  <si>
    <t>TRIM, PANEL DUAL CAS, L1,</t>
  </si>
  <si>
    <t>H083009-9</t>
  </si>
  <si>
    <t>TRIM</t>
  </si>
  <si>
    <t>H641252-505</t>
  </si>
  <si>
    <t>MONUMENT SEAL, LAVATORY, L1, AFT SPLIT, INSTL</t>
  </si>
  <si>
    <t>H641246-551</t>
  </si>
  <si>
    <t>H641151-51</t>
  </si>
  <si>
    <t>H641246-553</t>
  </si>
  <si>
    <t>H641151-65</t>
  </si>
  <si>
    <t>H642180-3</t>
  </si>
  <si>
    <t>H641246-583</t>
  </si>
  <si>
    <t>H641151-87</t>
  </si>
  <si>
    <t>NAS1801-3-5</t>
  </si>
  <si>
    <t>SCREW, SMALL HEX HEAD, FULL THREADED</t>
  </si>
  <si>
    <t>H084009-519</t>
  </si>
  <si>
    <t>TRIM ASSY, ENTRY DOOR, L1</t>
  </si>
  <si>
    <t>AKS4-632-80</t>
  </si>
  <si>
    <t>Rivnut, Avk Ind., Flat Head, Self-Locking, #6-32 ~ 3/8-24, Steel, Cad Plate, General</t>
  </si>
  <si>
    <t>H084009-19</t>
  </si>
  <si>
    <t>TRIM ENTRY DOOR, L1</t>
  </si>
  <si>
    <t>H086009-15</t>
  </si>
  <si>
    <t>TRIM, ENTRY DOOR, L1</t>
  </si>
  <si>
    <t>NAS1149FN816P</t>
  </si>
  <si>
    <t>NAS514P632-6</t>
  </si>
  <si>
    <t>NAS514P832-6</t>
  </si>
  <si>
    <t>H084002-111</t>
  </si>
  <si>
    <t>AAF</t>
  </si>
  <si>
    <t>EAAJ
EAFF
EAAC
EAAC</t>
  </si>
  <si>
    <t>TF1
TF2
TF3
TF4</t>
  </si>
  <si>
    <t>LAVATORY ASSY, L1, FWD SPLIT</t>
  </si>
  <si>
    <t>H084001-501</t>
  </si>
  <si>
    <t>AIR GASPER INSTL, L1, LH</t>
  </si>
  <si>
    <t>AS21919WCG16</t>
  </si>
  <si>
    <t>LOOP CLAMP</t>
  </si>
  <si>
    <t>CDSP5501-006</t>
  </si>
  <si>
    <t>CDSP5501-012</t>
  </si>
  <si>
    <t>SPACER; THICKNESS = 0.12"</t>
  </si>
  <si>
    <t>H081162-1</t>
  </si>
  <si>
    <t>CONNECTOR, AIR GASPER SYSTEM</t>
  </si>
  <si>
    <t>H081166-9</t>
  </si>
  <si>
    <t>GRILL DETAIL, AIR GASPER</t>
  </si>
  <si>
    <t>H081201-503</t>
  </si>
  <si>
    <t>HOOD ASSY, AIR GASPER</t>
  </si>
  <si>
    <t>H081163-5</t>
  </si>
  <si>
    <t>HOOD, AIR GASPER</t>
  </si>
  <si>
    <t>H081307-507</t>
  </si>
  <si>
    <t>ASSY AIR GASPER</t>
  </si>
  <si>
    <t>H081131-9</t>
  </si>
  <si>
    <t>FLANGE AIR GASPER</t>
  </si>
  <si>
    <t>H081132-3</t>
  </si>
  <si>
    <t>TUBE, AIR GASPER</t>
  </si>
  <si>
    <t>MS35206-240</t>
  </si>
  <si>
    <t>MS35207-263</t>
  </si>
  <si>
    <t>MS35842-11</t>
  </si>
  <si>
    <t>CLAMP, HOSE, CRES</t>
  </si>
  <si>
    <t>NAS1368N20F</t>
  </si>
  <si>
    <t>Grommet, Flip Type, 1 1/4 Dia, Nylon 6/6, Electrical</t>
  </si>
  <si>
    <t>GROMMET, FLIP TYPE, 1 1/4 DIA, NYLON 6/6</t>
  </si>
  <si>
    <t>NAS1374A03SA231</t>
  </si>
  <si>
    <t>AIR GASPER HOSE, L1, LH</t>
  </si>
  <si>
    <t>H084002-503</t>
  </si>
  <si>
    <t>WASTE COMPART INSTL, L1, LH</t>
  </si>
  <si>
    <t>1012</t>
  </si>
  <si>
    <t>STRIKE, TOUCH LATCH</t>
  </si>
  <si>
    <t>CDSP2401T-16-0675</t>
  </si>
  <si>
    <t>RUBSTRIP ASSY</t>
  </si>
  <si>
    <t>H081107-1</t>
  </si>
  <si>
    <t>DEFLECTOR, OUTBD SIDE, L1, LH</t>
  </si>
  <si>
    <t>H081109-1</t>
  </si>
  <si>
    <t>DEFLECTOR, INBD SIDE, L1, LH</t>
  </si>
  <si>
    <t>H081110-1</t>
  </si>
  <si>
    <t>DEFLECTOR FWD SIDE, L1, LH</t>
  </si>
  <si>
    <t>H081163-7</t>
  </si>
  <si>
    <t>SEAL, WASTE COMPARTMENT</t>
  </si>
  <si>
    <t>H081163-9</t>
  </si>
  <si>
    <t>BULB SEAL, WASTE COMPART.</t>
  </si>
  <si>
    <t>H081164-11</t>
  </si>
  <si>
    <t>BULB SEAL, FRONT PANEL</t>
  </si>
  <si>
    <t>H081164-3</t>
  </si>
  <si>
    <t>H081164-9</t>
  </si>
  <si>
    <t>BULB SEAL, WASTE COMPARTMENT</t>
  </si>
  <si>
    <t>H081165-1</t>
  </si>
  <si>
    <t>RUBSTRIP, WASTE COMPART, L1, LH</t>
  </si>
  <si>
    <t>H081165-11</t>
  </si>
  <si>
    <t>H081166-7</t>
  </si>
  <si>
    <t>RUBSTRIP, WASTE COMPART</t>
  </si>
  <si>
    <t>H081167-1</t>
  </si>
  <si>
    <t>H081169-1</t>
  </si>
  <si>
    <t>H081170-1</t>
  </si>
  <si>
    <t>SPACER, LATCH, STOWAGE MIRROR DOOR</t>
  </si>
  <si>
    <t>H081173-1</t>
  </si>
  <si>
    <t>RUBSTRIP, WASTE COMPART, L1, H1</t>
  </si>
  <si>
    <t>H081190-1</t>
  </si>
  <si>
    <t>TRASH, 1L, LH</t>
  </si>
  <si>
    <t>H082129-11</t>
  </si>
  <si>
    <t>PLATE, WASTE COMPART</t>
  </si>
  <si>
    <t>H082129-17</t>
  </si>
  <si>
    <t>H082129-3</t>
  </si>
  <si>
    <t>H082129-5</t>
  </si>
  <si>
    <t>H082129-7</t>
  </si>
  <si>
    <t>H082129-9</t>
  </si>
  <si>
    <t>H082168-1</t>
  </si>
  <si>
    <t>H082168-13</t>
  </si>
  <si>
    <t>H082168-3</t>
  </si>
  <si>
    <t>H082168-7</t>
  </si>
  <si>
    <t>SEAL,WASTE COMPART</t>
  </si>
  <si>
    <t>H082168-9</t>
  </si>
  <si>
    <t>SEAL, WASTE COMPART</t>
  </si>
  <si>
    <t>MS35206-226</t>
  </si>
  <si>
    <t>Screw, Pan Head, Full Thd (UNC-2A), #6-32, Steel, 60 ksi, General</t>
  </si>
  <si>
    <t>MS51957-42</t>
  </si>
  <si>
    <t>Screw, Pan Head, Full Thd (UNC-2A), #8-32, Cres, 80 ksi, General</t>
  </si>
  <si>
    <t>NAS1149FN632P</t>
  </si>
  <si>
    <t>Washer, Flat, #6, Steel, Cad Plate, General</t>
  </si>
  <si>
    <t>NAS514P632-4</t>
  </si>
  <si>
    <t>NAS514P632-4P</t>
  </si>
  <si>
    <t>NAS514P832-14</t>
  </si>
  <si>
    <t>NAS514P832-16</t>
  </si>
  <si>
    <t>NAS601-14P</t>
  </si>
  <si>
    <t>Screw, Pan Head, Full Thd, #6-32, Alloy Steel, 160 ksi, Structural</t>
  </si>
  <si>
    <t>TL1166-P</t>
  </si>
  <si>
    <t>PUSH-PUSH LATCH</t>
  </si>
  <si>
    <t>H084003-503</t>
  </si>
  <si>
    <t>DOOR SERVICE ASSY, L1, LH</t>
  </si>
  <si>
    <t>H081025-503</t>
  </si>
  <si>
    <t>H081025-603</t>
  </si>
  <si>
    <t>DOOR SERVICE SUBASSY, L1, LH</t>
  </si>
  <si>
    <t>CDSP5905-08-06</t>
  </si>
  <si>
    <t>H081025-3</t>
  </si>
  <si>
    <t>PANEL, SERVICE DOOR, L1, LH</t>
  </si>
  <si>
    <t>H081112-15</t>
  </si>
  <si>
    <t>SPACE, PSU CLIP</t>
  </si>
  <si>
    <t>H081144-5</t>
  </si>
  <si>
    <t>H081207-503</t>
  </si>
  <si>
    <t>H081136-3</t>
  </si>
  <si>
    <t>HINGE HALF DETAIL</t>
  </si>
  <si>
    <t>H081137-3</t>
  </si>
  <si>
    <t>MS20253P2-325</t>
  </si>
  <si>
    <t>PIN, HINGE, 3.25 LG</t>
  </si>
  <si>
    <t>MS21318-15</t>
  </si>
  <si>
    <t>MS35206-241</t>
  </si>
  <si>
    <t>H081172-3</t>
  </si>
  <si>
    <t>SPACER, HINGE, DOOR</t>
  </si>
  <si>
    <t>H081176-5</t>
  </si>
  <si>
    <t>SPACER  HINGE, SERVICE COMPART. DOOR</t>
  </si>
  <si>
    <t>H081217-503</t>
  </si>
  <si>
    <t>DOOR ASSY, WASTE COMPART, L1, LH</t>
  </si>
  <si>
    <t>H081217-603</t>
  </si>
  <si>
    <t>DOOR SUBASSY, WASTE COMPART, L1, LH</t>
  </si>
  <si>
    <t>CDSP5905-06-06</t>
  </si>
  <si>
    <t>H081217-3</t>
  </si>
  <si>
    <t>PANEL, DOOR WASTE, L1, LH</t>
  </si>
  <si>
    <t>H084004-523</t>
  </si>
  <si>
    <t>BONDED STRUCTURE FWD, L1, LH</t>
  </si>
  <si>
    <t>H011053-7</t>
  </si>
  <si>
    <t>BALLISTIC L PANEL, EXTENDED, L1</t>
  </si>
  <si>
    <t>H081011-515</t>
  </si>
  <si>
    <t>PANEL ASSY, INBD, FWD SECTION, L1, LH</t>
  </si>
  <si>
    <t>H081011-615</t>
  </si>
  <si>
    <t>PANEL SUBASSY, INBD, FWD SECTION, L1, LH</t>
  </si>
  <si>
    <t>CDIN07-3-07</t>
  </si>
  <si>
    <t>Insert, Blind Thd, #10-32, Steel, Cad Plate, General</t>
  </si>
  <si>
    <t>CDSP5905-08-20</t>
  </si>
  <si>
    <t>CDSP5906-3-750</t>
  </si>
  <si>
    <t>H081011-15</t>
  </si>
  <si>
    <t>PANEL, INBD, FWD SECTION L1, LH</t>
  </si>
  <si>
    <t>H081279-503</t>
  </si>
  <si>
    <t>AKS4T-632-80L</t>
  </si>
  <si>
    <t>AKS4T-832-80L</t>
  </si>
  <si>
    <t>RIVNUT, FLAT HEAD, SELF-LOCKING, #8-32, STEEL, CAD PLATE, GENERAL</t>
  </si>
  <si>
    <t>H082009-27</t>
  </si>
  <si>
    <t>H081013-507</t>
  </si>
  <si>
    <t>PANEL ASSY, OUTBD, UPPER, FWD SECTION, L1, LH</t>
  </si>
  <si>
    <t>CDSP5903-3-500</t>
  </si>
  <si>
    <t>CDSP5905-3-06</t>
  </si>
  <si>
    <t>CDSP5906-3-500</t>
  </si>
  <si>
    <t>H081013-7</t>
  </si>
  <si>
    <t>PANEL, OUTBD, UPPER, FWD SECTION, L1, LH</t>
  </si>
  <si>
    <t>H081014-503</t>
  </si>
  <si>
    <t>PANEL ASSY, OUTBD, LOWER, FWD SECTION, L1, LH</t>
  </si>
  <si>
    <t>H081014-3</t>
  </si>
  <si>
    <t>PANEL, OUTBD, LOWER, FWD SECTION, L1, LH</t>
  </si>
  <si>
    <t>H081015-505</t>
  </si>
  <si>
    <t>PANEL ASSY, FLOOR, FWD SECTION, L1, LH</t>
  </si>
  <si>
    <t>H081015-5</t>
  </si>
  <si>
    <t>PANEL, FLOOR, FWD SECTION, L1, LH</t>
  </si>
  <si>
    <t>H081017-3</t>
  </si>
  <si>
    <t>PANEL, COCKPIT WINDOW, OUTBD, L1, LH</t>
  </si>
  <si>
    <t>H081018-1</t>
  </si>
  <si>
    <t>PANEL, BPI, CORNER UPPER. L1 LH</t>
  </si>
  <si>
    <t>H081019-505</t>
  </si>
  <si>
    <t>PANEL ASSY, UNDER COUNTERTOP, L1, LH</t>
  </si>
  <si>
    <t>CDSP5905-3-09</t>
  </si>
  <si>
    <t>CDSP5907-08-1</t>
  </si>
  <si>
    <t>Insert, Blind Thd, Floating, Small, #8-32, Steel, Cad Plate, General</t>
  </si>
  <si>
    <t>H081019-5</t>
  </si>
  <si>
    <t>PANEL, UNDER COUNTERTOP, L1, LH</t>
  </si>
  <si>
    <t>H081021-3</t>
  </si>
  <si>
    <t>PANEL, UNDER WASTE COMPART, L1, LH</t>
  </si>
  <si>
    <t>H081022-503</t>
  </si>
  <si>
    <t>PANEL ASSY, SIDE WASTE COMPART, L1, LH</t>
  </si>
  <si>
    <t>CDSP5907-3-1</t>
  </si>
  <si>
    <t>H081022-3</t>
  </si>
  <si>
    <t>PANEL, SIDE WASTE COMPART, L1, LH</t>
  </si>
  <si>
    <t>H081024-503</t>
  </si>
  <si>
    <t>PANEL ASSY, COCKPIT WINDOW</t>
  </si>
  <si>
    <t>H081024-3</t>
  </si>
  <si>
    <t>PANEL, COCKPIT WINDOW, INBD, L1, LH</t>
  </si>
  <si>
    <t>H081026-1</t>
  </si>
  <si>
    <t>H081028-501</t>
  </si>
  <si>
    <t>PANEL ASSY, BACK COUNTERTOP, L1, LH</t>
  </si>
  <si>
    <t>H081028-1</t>
  </si>
  <si>
    <t>PANEL, BACK COUNTERTOP, L1, LH</t>
  </si>
  <si>
    <t>H081029-1</t>
  </si>
  <si>
    <t>PANEL, BPI, CORNER, L1 LH</t>
  </si>
  <si>
    <t>H081043-1</t>
  </si>
  <si>
    <t>PANEL, COCKPIT WINDOW</t>
  </si>
  <si>
    <t>H081045-501</t>
  </si>
  <si>
    <t>PANEL ASSY, WASTE COMPART, L1, LH</t>
  </si>
  <si>
    <t>H081045-1</t>
  </si>
  <si>
    <t>PANEL, WASTE COMPART, L1, LH</t>
  </si>
  <si>
    <t>H081046-3</t>
  </si>
  <si>
    <t>H081069-503</t>
  </si>
  <si>
    <t>PANEL ASSY, OUTBD, HORIZONTAL, L1, LH</t>
  </si>
  <si>
    <t>H081069-3</t>
  </si>
  <si>
    <t>PANEL, OUTBD, HORIZONTAL, L1, LH</t>
  </si>
  <si>
    <t>H081071-503</t>
  </si>
  <si>
    <t>PANEL ASSY, FWD, L1, LH</t>
  </si>
  <si>
    <t>CDIN07-06-07</t>
  </si>
  <si>
    <t>INSERT, BLIND THD, #6-32, STEEL, CAD PLATE, GENERAL</t>
  </si>
  <si>
    <t>CDIN07-08-07</t>
  </si>
  <si>
    <t>Insert, Blind Thd, #8-32, Steel, Cad Plate, General</t>
  </si>
  <si>
    <t>CDIN23-08A</t>
  </si>
  <si>
    <t>INSERT, BLIND THREADED, #8-32, FLOATING</t>
  </si>
  <si>
    <t>CDIN23-3A</t>
  </si>
  <si>
    <t>INSERT, BLIND THREATED, #10-32, FLOATING</t>
  </si>
  <si>
    <t>CDSP5905-3-07</t>
  </si>
  <si>
    <t>H081071-3</t>
  </si>
  <si>
    <t>PANEL, BPI, FWD</t>
  </si>
  <si>
    <t>H081072-501</t>
  </si>
  <si>
    <t>H081072-1</t>
  </si>
  <si>
    <t>H081073-1</t>
  </si>
  <si>
    <t>PANEL, BACK, COUNTERTOP, L1, LH</t>
  </si>
  <si>
    <t>H081077-1</t>
  </si>
  <si>
    <t>H081101-1</t>
  </si>
  <si>
    <t>DOUBLER, CKPIT WINDOW, INTERNL</t>
  </si>
  <si>
    <t>H081102-1</t>
  </si>
  <si>
    <t>DOUBLER, CKPIT WINDOW, L1</t>
  </si>
  <si>
    <t>H081106-1</t>
  </si>
  <si>
    <t>DOUBLER, LOWER FWD PANEL</t>
  </si>
  <si>
    <t>H081106-5</t>
  </si>
  <si>
    <t>DOUBLER BOTTOM FITTING, FWD</t>
  </si>
  <si>
    <t>H081111-17</t>
  </si>
  <si>
    <t>DOUBLER, FWD SPLIT, L1</t>
  </si>
  <si>
    <t>H081113-1</t>
  </si>
  <si>
    <t>H081113-513</t>
  </si>
  <si>
    <t>DOUBLER HOISTING POINT</t>
  </si>
  <si>
    <t>H081113-13</t>
  </si>
  <si>
    <t>H081114-1</t>
  </si>
  <si>
    <t>H081114-5</t>
  </si>
  <si>
    <t>DOUBLER REFORCE PBI, L1, LH</t>
  </si>
  <si>
    <t>H081114-7</t>
  </si>
  <si>
    <t>H081114-9</t>
  </si>
  <si>
    <t>DOUBLER REFORCE, L1, LH</t>
  </si>
  <si>
    <t>H081115-1</t>
  </si>
  <si>
    <t>H081116-1</t>
  </si>
  <si>
    <t>H081117-1</t>
  </si>
  <si>
    <t>H081118-1</t>
  </si>
  <si>
    <t>H081119-1</t>
  </si>
  <si>
    <t>H081121-1</t>
  </si>
  <si>
    <t>H081131-1</t>
  </si>
  <si>
    <t>H081132-1</t>
  </si>
  <si>
    <t>H081150-1</t>
  </si>
  <si>
    <t>DOUBLER, STRIP LIGHT CUTOUT REINFORCEMENT</t>
  </si>
  <si>
    <t>H081160-1</t>
  </si>
  <si>
    <t>H081164-1</t>
  </si>
  <si>
    <t>H081166-1</t>
  </si>
  <si>
    <t>H081168-1</t>
  </si>
  <si>
    <t>H081210-503</t>
  </si>
  <si>
    <t>PANEL ASSY, BACK, WASTE COMPART, L1, LH</t>
  </si>
  <si>
    <t>H081210-3</t>
  </si>
  <si>
    <t>PANEL, BACK, WASTE COMPART, L1, LH</t>
  </si>
  <si>
    <t>H081259-501</t>
  </si>
  <si>
    <t>H081159-1</t>
  </si>
  <si>
    <t>H082106-1</t>
  </si>
  <si>
    <t>DOUBLER SPLIT BLOCK. L1</t>
  </si>
  <si>
    <t>H082117-1</t>
  </si>
  <si>
    <t>DOUBLER, FWD LOWER FITTINGS</t>
  </si>
  <si>
    <t>H082120-1</t>
  </si>
  <si>
    <t>DOUBLER, OBSERVER SEAT</t>
  </si>
  <si>
    <t>H082131-3</t>
  </si>
  <si>
    <t>H082132-7</t>
  </si>
  <si>
    <t>MS35207-259</t>
  </si>
  <si>
    <t>MS35207-260</t>
  </si>
  <si>
    <t>NAS514P1032-4</t>
  </si>
  <si>
    <t>NAS603-4</t>
  </si>
  <si>
    <t>NAS603-5</t>
  </si>
  <si>
    <t>SCREW, PH #10-32 X .31 LG</t>
  </si>
  <si>
    <t>NAS603-7P</t>
  </si>
  <si>
    <t>H084005-503</t>
  </si>
  <si>
    <t>ASNE0675A02A</t>
  </si>
  <si>
    <t>V-CLAMP, ELBOWED</t>
  </si>
  <si>
    <t>CDEL1029-F1</t>
  </si>
  <si>
    <t>CDEL1029-F501</t>
  </si>
  <si>
    <t>CDEL1029-F21</t>
  </si>
  <si>
    <t>BASE, 17.5MM, BONDED</t>
  </si>
  <si>
    <t>CDEL5006-11</t>
  </si>
  <si>
    <t>BRACKET, CONNECTOR, D38999 SIZE 11</t>
  </si>
  <si>
    <t>CDEL5006-13</t>
  </si>
  <si>
    <t>BRACKET, CONNECTOR, D38999 SIZE 13</t>
  </si>
  <si>
    <t>CDPL136-J53011</t>
  </si>
  <si>
    <t>CDPL136-J53015</t>
  </si>
  <si>
    <t>CDPL136-J53026</t>
  </si>
  <si>
    <t>CDPL136-J53027</t>
  </si>
  <si>
    <t>CDPL136-K53000</t>
  </si>
  <si>
    <t>CDPL136-K53001</t>
  </si>
  <si>
    <t>CDPL136-K53002</t>
  </si>
  <si>
    <t>CDPL136-P53005</t>
  </si>
  <si>
    <t>CDPL136-P53012</t>
  </si>
  <si>
    <t>CDPL136-P53016</t>
  </si>
  <si>
    <t>CDPL136-P53017</t>
  </si>
  <si>
    <t>CDPL136-P53018</t>
  </si>
  <si>
    <t>CDPL136-P53026</t>
  </si>
  <si>
    <t>CDPL136-P53036</t>
  </si>
  <si>
    <t>H061140-9</t>
  </si>
  <si>
    <t>BRACKET RELAY MOUNTING</t>
  </si>
  <si>
    <t>H061141-3</t>
  </si>
  <si>
    <t>H061700-501</t>
  </si>
  <si>
    <t>ELECTRICAL KIT PCB MOUNTING BOX</t>
  </si>
  <si>
    <t>170-44180-001</t>
  </si>
  <si>
    <t>PCB MOUNTING BOX</t>
  </si>
  <si>
    <t>5610-109-62</t>
  </si>
  <si>
    <t>Washer, Flat, 0.208, Nylon 6/6, General</t>
  </si>
  <si>
    <t>ABMM-D</t>
  </si>
  <si>
    <t>4 WAY TIE MOUNT</t>
  </si>
  <si>
    <t>CDSP4643-501</t>
  </si>
  <si>
    <t>PRINTED CIRCUIT BOARD - PSU</t>
  </si>
  <si>
    <t>H061705-501</t>
  </si>
  <si>
    <t>JUMPER ASSY, PCB BOX AFT LEFT LAVATORY</t>
  </si>
  <si>
    <t>1-770849-1</t>
  </si>
  <si>
    <t>CONNECTOR, PC BOARD</t>
  </si>
  <si>
    <t>103958-7</t>
  </si>
  <si>
    <t>770258-1</t>
  </si>
  <si>
    <t>TERMINAL, BRASS, GOLD PLATED, 6.5A</t>
  </si>
  <si>
    <t>M24308/4-2F</t>
  </si>
  <si>
    <t>CONNECTOR, ELECTRICAL-MINIATURE, RECEPTACLE, RECTANGULAR FLANGE, AL</t>
  </si>
  <si>
    <t>MS21043-3</t>
  </si>
  <si>
    <t>Nut, Hex, Self Locking, Low Height, #4-40 ~ 3/8-24, Cres A286, 160 ksi, Structural</t>
  </si>
  <si>
    <t>NAS43DD3-72N</t>
  </si>
  <si>
    <t>SPACER, SLEEVE-SCREW, #8/#10, AL ALLOY, ANODIZE, GENERAL</t>
  </si>
  <si>
    <t>NAS514P1032-30B</t>
  </si>
  <si>
    <t>H081152-501</t>
  </si>
  <si>
    <t>BRACKET ASSY, STRIP LIGHT</t>
  </si>
  <si>
    <t>H081152-1</t>
  </si>
  <si>
    <t>BRACKET DETAIL, STRIP LIGHT</t>
  </si>
  <si>
    <t>H081166-13</t>
  </si>
  <si>
    <t>BRACKET, CONNECTOR, D38999 SIZE 15</t>
  </si>
  <si>
    <t>H082709-503</t>
  </si>
  <si>
    <t>WIRE HARNESS ASSY, SPLITLINE, LAVATORY, 1L</t>
  </si>
  <si>
    <t>D369-R33-NS3</t>
  </si>
  <si>
    <t>D38999-20MB35SN</t>
  </si>
  <si>
    <t>CONNECTOR, WALL MOUNT RECEPTACLE</t>
  </si>
  <si>
    <t>M12883-41-14</t>
  </si>
  <si>
    <t>RELAY</t>
  </si>
  <si>
    <t>M12883/40-17</t>
  </si>
  <si>
    <t>RELAY SOCKET</t>
  </si>
  <si>
    <t>M24308-25-9F</t>
  </si>
  <si>
    <t>MALE SCREWLOCKS</t>
  </si>
  <si>
    <t>M85049-39S11N</t>
  </si>
  <si>
    <t>M85049/48-2-2F</t>
  </si>
  <si>
    <t>MS3470L16-23S</t>
  </si>
  <si>
    <t>CONNECTOR, RECEPTACLE, ELECTRIC</t>
  </si>
  <si>
    <t>SJS830100</t>
  </si>
  <si>
    <t>SJS, PLUG; 8 POSITION, SIZE 22; SHELL SIZE 7</t>
  </si>
  <si>
    <t>SJS860510</t>
  </si>
  <si>
    <t>PLUG, 5P SZ22</t>
  </si>
  <si>
    <t>H082711-507</t>
  </si>
  <si>
    <t>WIRE HARNESS ASSY, SPLITLINE, WATER HEATER, 1L</t>
  </si>
  <si>
    <t>D38999-20MC8PN</t>
  </si>
  <si>
    <t>WALL MOUNT RECEPTACLE</t>
  </si>
  <si>
    <t>EN3646A61412FN</t>
  </si>
  <si>
    <t>M85049-38S13N</t>
  </si>
  <si>
    <t>H082760-515</t>
  </si>
  <si>
    <t>BONDING INSTALLATION, AFT LAVATORY, DB SEAT SPLITLINE</t>
  </si>
  <si>
    <t>BACW10BP3APU</t>
  </si>
  <si>
    <t>WASHER, PLAIN, .188 DIA</t>
  </si>
  <si>
    <t>CDEL3005-501-00125</t>
  </si>
  <si>
    <t>GROUND STRAP, 1.25"</t>
  </si>
  <si>
    <t>CDEL3005-501-00275</t>
  </si>
  <si>
    <t>GROUND STRAP, 2.75"</t>
  </si>
  <si>
    <t>CDEL3005-501-0325</t>
  </si>
  <si>
    <t>GROUND STRAP 3.25"</t>
  </si>
  <si>
    <t>CDEL3006-10-HH1-001-1</t>
  </si>
  <si>
    <t>GROUND STRAP 1"</t>
  </si>
  <si>
    <t>CDEL3006-10-HH1-009-1</t>
  </si>
  <si>
    <t>BONDING JUMPER</t>
  </si>
  <si>
    <t>CDEL3006-10-HH1-013-1</t>
  </si>
  <si>
    <t>GROUND STRAP 13"</t>
  </si>
  <si>
    <t>CDPL136-GS53003</t>
  </si>
  <si>
    <t>CDPL136-GS53004</t>
  </si>
  <si>
    <t>CDPL136-GS53005</t>
  </si>
  <si>
    <t>CDPL136-GS53011</t>
  </si>
  <si>
    <t>CDPL136-GS53015</t>
  </si>
  <si>
    <t>CDPL136-GS53016</t>
  </si>
  <si>
    <t>CDPL136-GS53017</t>
  </si>
  <si>
    <t>CDPL136-GS53018</t>
  </si>
  <si>
    <t>CDPL136-GS53019</t>
  </si>
  <si>
    <t>CDPL136-GS53020</t>
  </si>
  <si>
    <t>CDPL136-GS53027</t>
  </si>
  <si>
    <t>CDPL136-GS53028</t>
  </si>
  <si>
    <t>PLACARD. LABEL</t>
  </si>
  <si>
    <t>CDPL136-GS53029</t>
  </si>
  <si>
    <t>CDPL136-GS53030</t>
  </si>
  <si>
    <t>CDPL136-GS53031</t>
  </si>
  <si>
    <t>CDPL136-GS53032</t>
  </si>
  <si>
    <t>CDPL136-GS53033</t>
  </si>
  <si>
    <t>H082701-15</t>
  </si>
  <si>
    <t>H082701-25</t>
  </si>
  <si>
    <t>H082701-27</t>
  </si>
  <si>
    <t>H082701-29</t>
  </si>
  <si>
    <t>H082701-31</t>
  </si>
  <si>
    <t>H082701-33</t>
  </si>
  <si>
    <t>H082701-9</t>
  </si>
  <si>
    <t>NUT, HEX, SELF LOCKING</t>
  </si>
  <si>
    <t>MS21083N3</t>
  </si>
  <si>
    <t>Nut, Hex, Self Locking, Low Height, #10-32, Steel, 70 ksi, General</t>
  </si>
  <si>
    <t>MS24693-C274</t>
  </si>
  <si>
    <t>Screw, Flat Head, Full Thd, #10-32, Cres, 80 ksi, General</t>
  </si>
  <si>
    <t>MS35338-43</t>
  </si>
  <si>
    <t>Washer, Lock Spring, #10, Steel, Cad Plate, General</t>
  </si>
  <si>
    <t>NAS514P1032-7</t>
  </si>
  <si>
    <t>NAS8303-3</t>
  </si>
  <si>
    <t>M83536/10-024L</t>
  </si>
  <si>
    <t>RELAY 10A, 2 PDT, 28 VDC</t>
  </si>
  <si>
    <t>M83536/16-022L</t>
  </si>
  <si>
    <t>RELAY 10A, 4 PDT, 28 VDC</t>
  </si>
  <si>
    <t>MS21042L04</t>
  </si>
  <si>
    <t>NAS600-7P</t>
  </si>
  <si>
    <t>NAS620-4</t>
  </si>
  <si>
    <t>Washer, Flat, Small O.D., #2 ~ 1/4, Steel, Cad Plate, General</t>
  </si>
  <si>
    <t>NAS8302-3</t>
  </si>
  <si>
    <t>Screw, Washer Head, Full Thd, #8-32, Alloy Steel, 160 ksi, Structural</t>
  </si>
  <si>
    <t>NAS8303-10</t>
  </si>
  <si>
    <t>NSA5527-03-03</t>
  </si>
  <si>
    <t>H084006-507</t>
  </si>
  <si>
    <t>STOWAGE MIRROR ASSY, L1, LH</t>
  </si>
  <si>
    <t>H021137-504</t>
  </si>
  <si>
    <t>DRAGONMOUTH BRACKET, ASSY</t>
  </si>
  <si>
    <t>170-41523-001</t>
  </si>
  <si>
    <t>SPACER - PIVOT ATTACH</t>
  </si>
  <si>
    <t>H021137-4</t>
  </si>
  <si>
    <t>DRAGONMOUTH BRACKET, DETAIL</t>
  </si>
  <si>
    <t>MS21042-08</t>
  </si>
  <si>
    <t>NAS1202-28</t>
  </si>
  <si>
    <t>Screw, Flat Head, Grip / Short Thd, #8-32, Alloy Steel, 160 ksi, Structural</t>
  </si>
  <si>
    <t>H061294-501</t>
  </si>
  <si>
    <t>BRACKET, FIX PSU ASSY</t>
  </si>
  <si>
    <t>H062110-1</t>
  </si>
  <si>
    <t>MS20426A3-4</t>
  </si>
  <si>
    <t>RIVET, FLAT HEAD, SOLID 3/32, AL 1100F, CHEM FILM, GENERAL</t>
  </si>
  <si>
    <t>MS21075L3N</t>
  </si>
  <si>
    <t>NUTPLATE  #10-32</t>
  </si>
  <si>
    <t>H081105-9</t>
  </si>
  <si>
    <t>DOUBLER, STOWAGE MIRROR</t>
  </si>
  <si>
    <t>H081162-5</t>
  </si>
  <si>
    <t>BUMPER, STOWAGE MIRROR DOOR</t>
  </si>
  <si>
    <t>H081270-501</t>
  </si>
  <si>
    <t>BRACKET FIX DISPENSER ASSY</t>
  </si>
  <si>
    <t>H081105-3</t>
  </si>
  <si>
    <t>BRACKET FIX DISPENSER</t>
  </si>
  <si>
    <t>H081271-505</t>
  </si>
  <si>
    <t>DOOR, STOWAGE MIRROR ASSY, L1, LH</t>
  </si>
  <si>
    <t>H081057-1</t>
  </si>
  <si>
    <t>CORNER BEZEL</t>
  </si>
  <si>
    <t>H081062-1</t>
  </si>
  <si>
    <t>FACIAL TISSUE BEZEL</t>
  </si>
  <si>
    <t>H081104-6</t>
  </si>
  <si>
    <t>PAPER TOWEL BRACKET, OPP</t>
  </si>
  <si>
    <t>H081264-503</t>
  </si>
  <si>
    <t>FLAPPER ASSY, STOWAGE MIRROR</t>
  </si>
  <si>
    <t>CCR264CS-3-01</t>
  </si>
  <si>
    <t>Cherry nut-plate rivet</t>
  </si>
  <si>
    <t>H081103-5</t>
  </si>
  <si>
    <t>FLAPPER</t>
  </si>
  <si>
    <t>H081103-7</t>
  </si>
  <si>
    <t>FLAPPER, UPR</t>
  </si>
  <si>
    <t>H081201-507</t>
  </si>
  <si>
    <t>HINGE ASSY, FLAPPER UPR, L1, LH</t>
  </si>
  <si>
    <t>H081103-9</t>
  </si>
  <si>
    <t>HINGE, TOWER DISPENSER</t>
  </si>
  <si>
    <t>H081104-3</t>
  </si>
  <si>
    <t>MS20253-2-0252</t>
  </si>
  <si>
    <t>H081509-503</t>
  </si>
  <si>
    <t>FLAPPER BOTTOM HINGE ASSY</t>
  </si>
  <si>
    <t>H081102-11</t>
  </si>
  <si>
    <t>FLAPPER BOTTOM HINGE, TOWER DISP ASSY, L1</t>
  </si>
  <si>
    <t>H081103-3</t>
  </si>
  <si>
    <t>FLAPPER SIDE HINGE, TOWER DISP ASSY, L1</t>
  </si>
  <si>
    <t>H081274-503</t>
  </si>
  <si>
    <t>HINGE ASSY, CEILING DOOR</t>
  </si>
  <si>
    <t>H081105-23</t>
  </si>
  <si>
    <t>HINGE LINK</t>
  </si>
  <si>
    <t>H081131-11</t>
  </si>
  <si>
    <t>HINGE HALF, STOWAGE</t>
  </si>
  <si>
    <t>H081131-25</t>
  </si>
  <si>
    <t>HINGE HALF, CEILING DOOR, L1</t>
  </si>
  <si>
    <t>MS20253P2-200</t>
  </si>
  <si>
    <t>PIN, HINGE, 2.00" LG</t>
  </si>
  <si>
    <t>H084024-501</t>
  </si>
  <si>
    <t>BONDED STRUCTURE ASSY, PAPER</t>
  </si>
  <si>
    <t>H081065-503</t>
  </si>
  <si>
    <t>PANEL ASSY, STOWAGE MIRROR</t>
  </si>
  <si>
    <t>H081065-3</t>
  </si>
  <si>
    <t>PANEL, STOWAGE MIRROR</t>
  </si>
  <si>
    <t>H081067-501</t>
  </si>
  <si>
    <t>PANEL ASSY, PAPER TOWEL</t>
  </si>
  <si>
    <t>H081067-1</t>
  </si>
  <si>
    <t>PANEL, PAPER TOWEL</t>
  </si>
  <si>
    <t>NAS514P632-3</t>
  </si>
  <si>
    <t>H081295-501</t>
  </si>
  <si>
    <t>BRACKET LATCH MIRROR ASSY</t>
  </si>
  <si>
    <t>H081109-7</t>
  </si>
  <si>
    <t>BRACKET LATCH TOWER DISPENSER</t>
  </si>
  <si>
    <t>MS21076L04</t>
  </si>
  <si>
    <t>Nut Plate, Two Lug, Floating, Small, #4-40, Cres A286, 125 ksi, General</t>
  </si>
  <si>
    <t>H084014-503</t>
  </si>
  <si>
    <t>BONDED, STOWAGE MIRROR ASSY</t>
  </si>
  <si>
    <t>H081063-505</t>
  </si>
  <si>
    <t>PANEL ASSY, BOX STOWAGE</t>
  </si>
  <si>
    <t>H081063-5</t>
  </si>
  <si>
    <t>PANEL, BOX STOWAGE, L1</t>
  </si>
  <si>
    <t>H081066-503</t>
  </si>
  <si>
    <t>PANEL ASSY, STOWAGE AFT</t>
  </si>
  <si>
    <t>H081066-3</t>
  </si>
  <si>
    <t>PANEL, STOWAGE AFT</t>
  </si>
  <si>
    <t>H081068-503</t>
  </si>
  <si>
    <t>PANEL ASSY, COUNTERTOP LIGHT</t>
  </si>
  <si>
    <t>H081068-3</t>
  </si>
  <si>
    <t>PANEL, COUNTERTOP LIGHT</t>
  </si>
  <si>
    <t>H081161-517</t>
  </si>
  <si>
    <t>PANEL ASSY, STOWAGE BOTTOM</t>
  </si>
  <si>
    <t>H081161-17</t>
  </si>
  <si>
    <t>PANEL, STOWAGE BOTTOM</t>
  </si>
  <si>
    <t>H081161-519</t>
  </si>
  <si>
    <t>PANEL ASSY, STOWAGE RH</t>
  </si>
  <si>
    <t>H081161-19</t>
  </si>
  <si>
    <t>PANEL, STOWAGE RH</t>
  </si>
  <si>
    <t>H081191-1</t>
  </si>
  <si>
    <t>DOUBLER, PANELS STOWAGE, L1</t>
  </si>
  <si>
    <t>MS35207-265</t>
  </si>
  <si>
    <t>NAS1149FN416P</t>
  </si>
  <si>
    <t>NAS514P1032-11</t>
  </si>
  <si>
    <t>NAS600-14P</t>
  </si>
  <si>
    <t>Screw, Pan Head, Full Thd, #4-40, Alloy Steel, 160 ksi, Structural</t>
  </si>
  <si>
    <t>H084007-505</t>
  </si>
  <si>
    <t>BRACKET AND BPI INSTL, IN</t>
  </si>
  <si>
    <t>H021137-503</t>
  </si>
  <si>
    <t>H021137-3</t>
  </si>
  <si>
    <t>H061115-1</t>
  </si>
  <si>
    <t>BRACKET, COUNTER ATTACH</t>
  </si>
  <si>
    <t>H061209-509</t>
  </si>
  <si>
    <t>BRACKET ASSY, STOP MIRROR</t>
  </si>
  <si>
    <t>H061107-3</t>
  </si>
  <si>
    <t>BRACKET, STOP MIRROR</t>
  </si>
  <si>
    <t>H061175-9</t>
  </si>
  <si>
    <t>RUBSTRIP, STOP MIRROR</t>
  </si>
  <si>
    <t>H061261-501</t>
  </si>
  <si>
    <t>ASSIST HANDLE INSTL</t>
  </si>
  <si>
    <t>H061254-501</t>
  </si>
  <si>
    <t>LID HANDLE, ASSY</t>
  </si>
  <si>
    <t>6035-2BR185</t>
  </si>
  <si>
    <t>ULTRASERT II</t>
  </si>
  <si>
    <t>H065172-1</t>
  </si>
  <si>
    <t>LID HANDLE</t>
  </si>
  <si>
    <t>H065173-1</t>
  </si>
  <si>
    <t>BASE HANDLE</t>
  </si>
  <si>
    <t>MS51958-67</t>
  </si>
  <si>
    <t>NAS1351C08-8P</t>
  </si>
  <si>
    <t>SCREW, CAP, SOCKET HEAD, GRIP, #8-36, CRES, .50 LG</t>
  </si>
  <si>
    <t>H081076-501</t>
  </si>
  <si>
    <t>BRACKET, COUNTERTOP, ASSY, L1</t>
  </si>
  <si>
    <t>H081111-7</t>
  </si>
  <si>
    <t>BRACKET, COUNTERTOP PANEL</t>
  </si>
  <si>
    <t>H081112-1</t>
  </si>
  <si>
    <t>BRACKET, SERVICE DOOR LATCH</t>
  </si>
  <si>
    <t>H081157-1</t>
  </si>
  <si>
    <t>H081202-507</t>
  </si>
  <si>
    <t>BRACKET, HINGE SHELF, ASSY</t>
  </si>
  <si>
    <t>CDSP6400-501</t>
  </si>
  <si>
    <t>RECEPTACLE ASSY</t>
  </si>
  <si>
    <t>CDSP6400-1</t>
  </si>
  <si>
    <t>RECEPTACLE, BODY</t>
  </si>
  <si>
    <t>CDSP6400-3</t>
  </si>
  <si>
    <t>WASHER, FLAT</t>
  </si>
  <si>
    <t>CDSP6400-5</t>
  </si>
  <si>
    <t>WASHER, SPHERICAL</t>
  </si>
  <si>
    <t>H081113-9</t>
  </si>
  <si>
    <t>BRACKET, HINGE SHELF</t>
  </si>
  <si>
    <t>MS20470AD4-5</t>
  </si>
  <si>
    <t>Rivet, Pan Head, Solid, 1/8, Al 2117-T4, Chem Film, General</t>
  </si>
  <si>
    <t>H081507-503</t>
  </si>
  <si>
    <t>LIGHT MIRROR ASSY</t>
  </si>
  <si>
    <t>CDSP5801-1AL</t>
  </si>
  <si>
    <t>Washer, CSK 100 deg., #6, Al 6061-T6, Anodize, General</t>
  </si>
  <si>
    <t>H083101-3</t>
  </si>
  <si>
    <t>LIGHT BRACKET</t>
  </si>
  <si>
    <t>MS21075L06</t>
  </si>
  <si>
    <t>Nut Plate, Two Lug, Floating, Small, #6-32, Alloy Steel, 125 ksi, General</t>
  </si>
  <si>
    <t>MS24693-C26</t>
  </si>
  <si>
    <t>H082015-1</t>
  </si>
  <si>
    <t>PANEL. BPI. INBD</t>
  </si>
  <si>
    <t>H082116-5</t>
  </si>
  <si>
    <t>CRES DOUBLER, INBD</t>
  </si>
  <si>
    <t>H141131-507</t>
  </si>
  <si>
    <t>POST ASSY, COCKPIT DOOR, E2</t>
  </si>
  <si>
    <t>H141131-7</t>
  </si>
  <si>
    <t>POST, COCKPIT DOOR, E2</t>
  </si>
  <si>
    <t>MS21075-3N</t>
  </si>
  <si>
    <t>Nut Plate, Two Lug, Floating, Small, #10-32, Alloy Steel, 125 ksi, General</t>
  </si>
  <si>
    <t>H141201-501</t>
  </si>
  <si>
    <t>EM LATCH MOUNTING BLOCK, ADJUSTABLE</t>
  </si>
  <si>
    <t>H141134-501</t>
  </si>
  <si>
    <t>ADJUSTABLE MOUNT, EM LATCH, OUTER ASSY</t>
  </si>
  <si>
    <t>H141134-1</t>
  </si>
  <si>
    <t>ADJUSTABLE MOUNT, EM LATCH, OUTER</t>
  </si>
  <si>
    <t>MS20426AD3-9</t>
  </si>
  <si>
    <t>MS21047L08</t>
  </si>
  <si>
    <t>NUTPLATE #8-32</t>
  </si>
  <si>
    <t>H141135-501</t>
  </si>
  <si>
    <t>ADJUSTABLE MOUNT, EM LATCH, INNER ASSY</t>
  </si>
  <si>
    <t>H141135-1</t>
  </si>
  <si>
    <t>ADJUSTABLE MOUNT, EM LATCH, INNER</t>
  </si>
  <si>
    <t>NAS1149GN832P</t>
  </si>
  <si>
    <t>Washer, Flat, #8, Alloy Steel, Cad Plate, Structural</t>
  </si>
  <si>
    <t>NAS602-10</t>
  </si>
  <si>
    <t>Screw, Pan Head, Full Thd, #8-32, Alloy Steel, 160 ksi, Structural</t>
  </si>
  <si>
    <t>H601174-3</t>
  </si>
  <si>
    <t>COVER, COUNTERTOP LIGHT</t>
  </si>
  <si>
    <t>MS35206-228</t>
  </si>
  <si>
    <t>NAS1149CN816R</t>
  </si>
  <si>
    <t>H084009-505</t>
  </si>
  <si>
    <t>TRIM, SEAL AND CEILING INSTL</t>
  </si>
  <si>
    <t>H082122-3</t>
  </si>
  <si>
    <t>H085009-13</t>
  </si>
  <si>
    <t>H641242-505</t>
  </si>
  <si>
    <t>MONUMENT SEAL INSTL, L1</t>
  </si>
  <si>
    <t>NAS1801-3-6</t>
  </si>
  <si>
    <t>H084008-507</t>
  </si>
  <si>
    <t>AAB</t>
  </si>
  <si>
    <t>DOOR INSTL, L1, LH</t>
  </si>
  <si>
    <t>H081157-7</t>
  </si>
  <si>
    <t>FRANGIBLE PIN</t>
  </si>
  <si>
    <t>H081202-527</t>
  </si>
  <si>
    <t>AAC</t>
  </si>
  <si>
    <t>EAAJ
EAAC</t>
  </si>
  <si>
    <t>DOOR ASSY PANEL, L1, LH</t>
  </si>
  <si>
    <t>CDSP3313-6</t>
  </si>
  <si>
    <t>LATCH, ENTRY DOOR</t>
  </si>
  <si>
    <t>CDSP3903-3</t>
  </si>
  <si>
    <t>ASHTRAY</t>
  </si>
  <si>
    <t>CDSP5601-45</t>
  </si>
  <si>
    <t>DOOR STOP</t>
  </si>
  <si>
    <t>CDSP6504A24-1865</t>
  </si>
  <si>
    <t>BRUSH SEAL</t>
  </si>
  <si>
    <t>CDSP6504A24-6877</t>
  </si>
  <si>
    <t>CDSP6504A32-1865</t>
  </si>
  <si>
    <t>H081035-509</t>
  </si>
  <si>
    <t>PANEL DOOR ASSY, L1, LH</t>
  </si>
  <si>
    <t>H081035-609</t>
  </si>
  <si>
    <t>CDSP5906-08-750</t>
  </si>
  <si>
    <t>H081035-9</t>
  </si>
  <si>
    <t>PANEL DOOR, L1, LH</t>
  </si>
  <si>
    <t>H081157-15</t>
  </si>
  <si>
    <t>H081272-501</t>
  </si>
  <si>
    <t>H081261-501</t>
  </si>
  <si>
    <t>H081261-1</t>
  </si>
  <si>
    <t>BRACKET, ENTRY DOOR LATCH</t>
  </si>
  <si>
    <t>MS21209F1-10</t>
  </si>
  <si>
    <t>Insert, Helical Coil, Fine Thd, #10-32, Cres, Passivate, General</t>
  </si>
  <si>
    <t>H082009-13</t>
  </si>
  <si>
    <t>MS20426AD3-7</t>
  </si>
  <si>
    <t>H081107-11</t>
  </si>
  <si>
    <t>KICKSTRIP, AISLE, L1 LH</t>
  </si>
  <si>
    <t>H081162-13</t>
  </si>
  <si>
    <t>BLOW OUT, INSIDE</t>
  </si>
  <si>
    <t>H081171-15</t>
  </si>
  <si>
    <t>SEAL, ENTRY DOOR</t>
  </si>
  <si>
    <t>H081280-503</t>
  </si>
  <si>
    <t>BLOWOUT, OUTSIDE ASSY</t>
  </si>
  <si>
    <t>6035L-06BR250</t>
  </si>
  <si>
    <t>INSERT,6-32 X .25 LG</t>
  </si>
  <si>
    <t>H081162-11</t>
  </si>
  <si>
    <t>BLOW OUT, OUTSIDE</t>
  </si>
  <si>
    <t>H083009-15</t>
  </si>
  <si>
    <t>HINGE TRIM, ENTRY DOOR</t>
  </si>
  <si>
    <t>H083009-19</t>
  </si>
  <si>
    <t>H084009-17</t>
  </si>
  <si>
    <t>TRIM DOOR, L1, LH</t>
  </si>
  <si>
    <t>H086009-17</t>
  </si>
  <si>
    <t>H087009-21</t>
  </si>
  <si>
    <t>TRIM ENTRY DOOR, LOWER</t>
  </si>
  <si>
    <t>H087009-25</t>
  </si>
  <si>
    <t>H087009-27</t>
  </si>
  <si>
    <t>MS20253P2-6768</t>
  </si>
  <si>
    <t>PIN, HINGE 67.68" LG</t>
  </si>
  <si>
    <t>MS51957-26</t>
  </si>
  <si>
    <t>Screw, Pan Head, Full Thd (UNC-2A), #6-32, Cres, 80 ksi, General</t>
  </si>
  <si>
    <t>NAS514P1032-5</t>
  </si>
  <si>
    <t>NAS514P832-7</t>
  </si>
  <si>
    <t>CDSP2213-1</t>
  </si>
  <si>
    <t>RETAINING CAP, 1" PANEL THK</t>
  </si>
  <si>
    <t>H061138-7</t>
  </si>
  <si>
    <t>SPACER, LWR ATCH</t>
  </si>
  <si>
    <t>H061150-1</t>
  </si>
  <si>
    <t>RETAINER BOOT PLATE, FINISH KIT</t>
  </si>
  <si>
    <t>H061202-515</t>
  </si>
  <si>
    <t>STRIKER ASSY, LATCH DOOR</t>
  </si>
  <si>
    <t>H081142-1</t>
  </si>
  <si>
    <t>STRIKER, LATCH DOOR</t>
  </si>
  <si>
    <t>SJ-5382</t>
  </si>
  <si>
    <t>CYLINDRICAL WHITE BUMPER</t>
  </si>
  <si>
    <t>H061311-1</t>
  </si>
  <si>
    <t>VACUUM BOOT</t>
  </si>
  <si>
    <t>H081027-511</t>
  </si>
  <si>
    <t>EAAC
EAAG</t>
  </si>
  <si>
    <t>PANEL ASSY, FRONT COUNTERTOP, L1, LH</t>
  </si>
  <si>
    <t>H081027-611</t>
  </si>
  <si>
    <t>PANEL SUBASSY, FRONT COUNTERTOP, L1, LH</t>
  </si>
  <si>
    <t>CDSP5903C6-250</t>
  </si>
  <si>
    <t>Insert, Thru Hole, 3/8-24, CRES 303, General</t>
  </si>
  <si>
    <t>CDSP5905C3-07</t>
  </si>
  <si>
    <t>H081027-11</t>
  </si>
  <si>
    <t>PANEL, FRONT COUNTERTOP, L1, LH</t>
  </si>
  <si>
    <t>H081111-3</t>
  </si>
  <si>
    <t>DOUBLER FRONT PANEL REINFORCEMENT</t>
  </si>
  <si>
    <t>H081124-1</t>
  </si>
  <si>
    <t>BRACKET, OUTBD FRONT PANEL OUTBD</t>
  </si>
  <si>
    <t>H081144-3</t>
  </si>
  <si>
    <t>H081156-3</t>
  </si>
  <si>
    <t>H081305-501</t>
  </si>
  <si>
    <t>TOILET DUAL PAPER HOLDER</t>
  </si>
  <si>
    <t>A081112-503</t>
  </si>
  <si>
    <t>SPINDLE ASSY, TOILET ROLLS</t>
  </si>
  <si>
    <t>H085190-1</t>
  </si>
  <si>
    <t>DOUBLE PAPER DISPENSER</t>
  </si>
  <si>
    <t>NAS1398B4-2</t>
  </si>
  <si>
    <t>Rivet, Dome Head, Blind, 1/8, Monel, Structural</t>
  </si>
  <si>
    <t>S124682-5S-14-3</t>
  </si>
  <si>
    <t>WASHER, FLAT - VARIABLE OD</t>
  </si>
  <si>
    <t>H082010-501</t>
  </si>
  <si>
    <t>AIR EXTRACTION INSTL, FWD SECTION, L1, LH</t>
  </si>
  <si>
    <t>CDSP5501-034</t>
  </si>
  <si>
    <t>H081178-1</t>
  </si>
  <si>
    <t>GRILL DETAIL</t>
  </si>
  <si>
    <t>H081208-501</t>
  </si>
  <si>
    <t>HOOD ASSY, EXHAUST AIR SYSTEM</t>
  </si>
  <si>
    <t>H081179-1</t>
  </si>
  <si>
    <t>HOOD DETAIL, AIR EXTRACTION SYSTEM</t>
  </si>
  <si>
    <t>H081215-501</t>
  </si>
  <si>
    <t>EXHAUST AIR OUTLET ASSY</t>
  </si>
  <si>
    <t>H081148-1</t>
  </si>
  <si>
    <t>FLANGE, AIR EXTRACTION SYSTEM</t>
  </si>
  <si>
    <t>H081149-1</t>
  </si>
  <si>
    <t>TUBE, OUTLET</t>
  </si>
  <si>
    <t>MS35206-246</t>
  </si>
  <si>
    <t>MS35842-10</t>
  </si>
  <si>
    <t>NAS1374A02SA129</t>
  </si>
  <si>
    <t>HOSE AIR EXTRACTION, L1</t>
  </si>
  <si>
    <t>NSA935401-03</t>
  </si>
  <si>
    <t>Cable Tie</t>
  </si>
  <si>
    <t>H082108-1</t>
  </si>
  <si>
    <t>BRACKET, ATTACH BOTH FRONT PANELS</t>
  </si>
  <si>
    <t>H086009-19</t>
  </si>
  <si>
    <t>TRIM, PANEL FRONT COUNTERTOP</t>
  </si>
  <si>
    <t>MS51958-41</t>
  </si>
  <si>
    <t>Screw, Pan Head, Full Thd (UNF-2A), #8-32, Cres, 80 ksi, General</t>
  </si>
  <si>
    <t>MS51958-58</t>
  </si>
  <si>
    <t>H081036-505</t>
  </si>
  <si>
    <t>PANEL ASSY, MIRROR, L1, LH</t>
  </si>
  <si>
    <t>AVL404-1</t>
  </si>
  <si>
    <t>AUTO-LOK PIN ADJUSTABLE GRIP</t>
  </si>
  <si>
    <t>H021135-1</t>
  </si>
  <si>
    <t>BRACKET, PIVOT ATTACH MOUNT</t>
  </si>
  <si>
    <t>H061209-507</t>
  </si>
  <si>
    <t>SPACER ASSY, MIRROR</t>
  </si>
  <si>
    <t>CDIN24</t>
  </si>
  <si>
    <t>INSERT, BLIND THREADED</t>
  </si>
  <si>
    <t>H061209-7</t>
  </si>
  <si>
    <t>SPACER, MIRROR</t>
  </si>
  <si>
    <t>H061316-1</t>
  </si>
  <si>
    <t>RUBBER SEAL, L1 MIRROR</t>
  </si>
  <si>
    <t>H081036-601</t>
  </si>
  <si>
    <t>PANEL SUBASSY, MIRROR, L1, LH</t>
  </si>
  <si>
    <t>H081036-1</t>
  </si>
  <si>
    <t>PANEL, MIRROR, L1, LH</t>
  </si>
  <si>
    <t>H082163-3</t>
  </si>
  <si>
    <t>MIRROR FACE,  1L, LH</t>
  </si>
  <si>
    <t>H081040-503</t>
  </si>
  <si>
    <t>PANEL ASSY, BABY CHANGE TABLE</t>
  </si>
  <si>
    <t>H061169-9</t>
  </si>
  <si>
    <t>COVER CAP</t>
  </si>
  <si>
    <t>H061317-1</t>
  </si>
  <si>
    <t>BUMPER</t>
  </si>
  <si>
    <t>H062106-1</t>
  </si>
  <si>
    <t>H081009-7</t>
  </si>
  <si>
    <t>TRIM, BABY CHANGE TABLE</t>
  </si>
  <si>
    <t>H081040-601</t>
  </si>
  <si>
    <t>PANEL SUBASSY, BABY CHANGE TABLE</t>
  </si>
  <si>
    <t>H081040-1</t>
  </si>
  <si>
    <t>PANEL, BABY CHANGE TABLE</t>
  </si>
  <si>
    <t>H081166-5</t>
  </si>
  <si>
    <t>SPACER HINGE</t>
  </si>
  <si>
    <t>H082009-23</t>
  </si>
  <si>
    <t>HINGE, BABY CHANGE TABLE</t>
  </si>
  <si>
    <t>H084009-3</t>
  </si>
  <si>
    <t>H084009-5</t>
  </si>
  <si>
    <t>MS20253P2-2251</t>
  </si>
  <si>
    <t>HINGE PIN, BABY CHANGE</t>
  </si>
  <si>
    <t>H081042-501</t>
  </si>
  <si>
    <t>PANEL ASSY, FLOOR PAN, L1, LH</t>
  </si>
  <si>
    <t>CDSP5904-3-250</t>
  </si>
  <si>
    <t>H081042-1</t>
  </si>
  <si>
    <t>PANEL, FLOOR PAN, L1, LH</t>
  </si>
  <si>
    <t>H081047-501</t>
  </si>
  <si>
    <t>DOOR CEILING ASSY, O2 BOX, L1, LH</t>
  </si>
  <si>
    <t>CDPL136-J53006</t>
  </si>
  <si>
    <t>CDPL136-P53007</t>
  </si>
  <si>
    <t>H081047-601</t>
  </si>
  <si>
    <t>DOOR CEILING SUBASSY, O2 BOX, L1, LH</t>
  </si>
  <si>
    <t>H081047-1</t>
  </si>
  <si>
    <t>CEILING DOOR, O2 BOX</t>
  </si>
  <si>
    <t>H081120-1</t>
  </si>
  <si>
    <t>BRACKET, DROP PANEL</t>
  </si>
  <si>
    <t>H081167-9</t>
  </si>
  <si>
    <t>SEAL, DROP PANEL, O2BOX</t>
  </si>
  <si>
    <t>H081168-3</t>
  </si>
  <si>
    <t>SEAL, DROP PANEL O2BOX</t>
  </si>
  <si>
    <t>H081168-5</t>
  </si>
  <si>
    <t>H081168-7</t>
  </si>
  <si>
    <t>H082102-3</t>
  </si>
  <si>
    <t>H081048-505</t>
  </si>
  <si>
    <t>FRONT PANEL ASSY, COUNTERTOP FWD, L1, LH</t>
  </si>
  <si>
    <t>H081048-605</t>
  </si>
  <si>
    <t>FRONT PANEL SUBASSY, COUNTERTOP AFT, L1, LH</t>
  </si>
  <si>
    <t>CDSP5905C08-07</t>
  </si>
  <si>
    <t>Insert, Blind Thd, 90 deg csk, #8-32, CRES 303, General</t>
  </si>
  <si>
    <t>H081048-5</t>
  </si>
  <si>
    <t>FRONT PANEL, COUNTERTOP AFT, L1, LH</t>
  </si>
  <si>
    <t>H081108-1</t>
  </si>
  <si>
    <t>DEFLECTOR, AFT SIDE, L1, LH</t>
  </si>
  <si>
    <t>H081131-27</t>
  </si>
  <si>
    <t>H081242-501</t>
  </si>
  <si>
    <t>WASTE FLAP ASSY, L1, LH</t>
  </si>
  <si>
    <t>458-4-2693</t>
  </si>
  <si>
    <t>SPRING HINGE, DOOR SMOKE DETECTION, STEEL</t>
  </si>
  <si>
    <t>H061135-1</t>
  </si>
  <si>
    <t>HINGE HALF DETAIL, WASTE FLAP DOOR</t>
  </si>
  <si>
    <t>H061178-1</t>
  </si>
  <si>
    <t>SPACER, WASTE FLAP DOOR</t>
  </si>
  <si>
    <t>H081130-1</t>
  </si>
  <si>
    <t>WASTE FLAP DETAIL, L1</t>
  </si>
  <si>
    <t>H081139-1</t>
  </si>
  <si>
    <t>HINGE HALF DETAIL, WAST FLAP DOOR</t>
  </si>
  <si>
    <t>H081313-1</t>
  </si>
  <si>
    <t>RUBSTRIP, WASTE FLAP</t>
  </si>
  <si>
    <t>MS20253P2-430</t>
  </si>
  <si>
    <t>PIN, HINGE, 4.30 LG</t>
  </si>
  <si>
    <t>H082129-15</t>
  </si>
  <si>
    <t>H082169-1</t>
  </si>
  <si>
    <t>P SEAL, WASTE COMPARTMENT</t>
  </si>
  <si>
    <t>H085009-5</t>
  </si>
  <si>
    <t>TRIM, WASTE FLAP ASSY</t>
  </si>
  <si>
    <t>H085009-7</t>
  </si>
  <si>
    <t>H086009-5</t>
  </si>
  <si>
    <t>TRIM WAST COMPART</t>
  </si>
  <si>
    <t>H087009-23</t>
  </si>
  <si>
    <t>TRIM, FRONT COUNTERTOP</t>
  </si>
  <si>
    <t>MS51957-40</t>
  </si>
  <si>
    <t>MS51957-41</t>
  </si>
  <si>
    <t>H081205-501</t>
  </si>
  <si>
    <t>STRIP LIGHT 12", ASSY</t>
  </si>
  <si>
    <t>STRIP LIGHT 12"</t>
  </si>
  <si>
    <t>H081205-503</t>
  </si>
  <si>
    <t>STRIP LIGHT 19", ASSY</t>
  </si>
  <si>
    <t>820-000207-19C5</t>
  </si>
  <si>
    <t>STRIP LIGHT</t>
  </si>
  <si>
    <t>820-000207-19C5-1</t>
  </si>
  <si>
    <t>STRIP LIGHT 28VDC 19IN</t>
  </si>
  <si>
    <t>H081206-501</t>
  </si>
  <si>
    <t>POST, LOWER ASSY, L1</t>
  </si>
  <si>
    <t>CDPL136-GS53022</t>
  </si>
  <si>
    <t>H081141-3</t>
  </si>
  <si>
    <t>POST REINFORCEMENT, LOWER, L1</t>
  </si>
  <si>
    <t>H081302-513</t>
  </si>
  <si>
    <t>TOILET SHROUD ASSY L1, LH</t>
  </si>
  <si>
    <t>CDEX1677J2763</t>
  </si>
  <si>
    <t>SEAL, LENGTH - 27.63 IN</t>
  </si>
  <si>
    <t>H061159-7</t>
  </si>
  <si>
    <t>BRACKET, TOILET SHROUD CLIPPING</t>
  </si>
  <si>
    <t>H061165-11</t>
  </si>
  <si>
    <t>PAD</t>
  </si>
  <si>
    <t>H061166-11</t>
  </si>
  <si>
    <t>CENTRAL CONTACT PAD</t>
  </si>
  <si>
    <t>H061321-7</t>
  </si>
  <si>
    <t>SEAL TOILET SHROUD AND FLOOR PAN</t>
  </si>
  <si>
    <t>H061802-505</t>
  </si>
  <si>
    <t>TOILET LID INSTL</t>
  </si>
  <si>
    <t>H081244-505</t>
  </si>
  <si>
    <t>TOILET SEAT ASSY, L1, LH</t>
  </si>
  <si>
    <t>CDEX0999F4045</t>
  </si>
  <si>
    <t>SEAL, TOILET SEAT</t>
  </si>
  <si>
    <t>CDSP4903B503</t>
  </si>
  <si>
    <t>HINGE, TOILET SEAT</t>
  </si>
  <si>
    <t>D751180-3</t>
  </si>
  <si>
    <t>CAP</t>
  </si>
  <si>
    <t>H081307-5</t>
  </si>
  <si>
    <t>TOILET SEAT, L1, LH</t>
  </si>
  <si>
    <t>H081246-505</t>
  </si>
  <si>
    <t>TOILET LID ASSY</t>
  </si>
  <si>
    <t>H081161-15</t>
  </si>
  <si>
    <t>TOILET LID CAP</t>
  </si>
  <si>
    <t>H081163-1</t>
  </si>
  <si>
    <t>H081317-1</t>
  </si>
  <si>
    <t>TOILET LID, L1, LH</t>
  </si>
  <si>
    <t>H062161-1</t>
  </si>
  <si>
    <t>H062161-3</t>
  </si>
  <si>
    <t>H062161-5</t>
  </si>
  <si>
    <t>H062161-7</t>
  </si>
  <si>
    <t>EXTRUSION, TOILET SHROUD</t>
  </si>
  <si>
    <t>H081293-511</t>
  </si>
  <si>
    <t>TOILET SHROUD SUB ASSY L1, LH</t>
  </si>
  <si>
    <t>H061102-13</t>
  </si>
  <si>
    <t>BRACKET SUPPORT, TOILET SHROUD</t>
  </si>
  <si>
    <t>H061107-1</t>
  </si>
  <si>
    <t>DOUBLER, TOILET SEAT</t>
  </si>
  <si>
    <t>H061169-11</t>
  </si>
  <si>
    <t>SEAL SEAT</t>
  </si>
  <si>
    <t>H061169-13</t>
  </si>
  <si>
    <t>H061170-3</t>
  </si>
  <si>
    <t>SUPPORT, TOILET SHROUD</t>
  </si>
  <si>
    <t>H061170-4</t>
  </si>
  <si>
    <t>SUPPORT, TOILET SHROUD, AFT, OPP</t>
  </si>
  <si>
    <t>H062162-1</t>
  </si>
  <si>
    <t>H062165-1</t>
  </si>
  <si>
    <t>HOOK SLIDER, TOILET SHROUD</t>
  </si>
  <si>
    <t>H062166-1</t>
  </si>
  <si>
    <t>HOOK, LATCH</t>
  </si>
  <si>
    <t>H081175-507</t>
  </si>
  <si>
    <t>TOILET SHROUD SUB ASSY L1</t>
  </si>
  <si>
    <t>H081175-11</t>
  </si>
  <si>
    <t>TOILET SHROUD, L1, LH</t>
  </si>
  <si>
    <t>H600130-1</t>
  </si>
  <si>
    <t>H081402-505</t>
  </si>
  <si>
    <t>EAAG</t>
  </si>
  <si>
    <t>SEAT COVER DISPENSER, ASSY, L1 LH</t>
  </si>
  <si>
    <t>H081037-503</t>
  </si>
  <si>
    <t>PANEL ASSY, UNDER SIDE</t>
  </si>
  <si>
    <t>H061126-3</t>
  </si>
  <si>
    <t>H081037-603</t>
  </si>
  <si>
    <t>PANEL SUBASSY, UNDER SIDE</t>
  </si>
  <si>
    <t>H081037-3</t>
  </si>
  <si>
    <t>PANEL, UNDER SIDE</t>
  </si>
  <si>
    <t>H602102-1</t>
  </si>
  <si>
    <t>MS35207-258</t>
  </si>
  <si>
    <t>H081112-13</t>
  </si>
  <si>
    <t>H081304-501</t>
  </si>
  <si>
    <t>HINGE HALF, DISPENSER DOOR ASSY</t>
  </si>
  <si>
    <t>H082009-1</t>
  </si>
  <si>
    <t>HINGE HALF, DISPENSER DOOR</t>
  </si>
  <si>
    <t>H083009-1</t>
  </si>
  <si>
    <t>MS21318-13</t>
  </si>
  <si>
    <t>H085004-501</t>
  </si>
  <si>
    <t>BONDED TOILET SEAT COVER</t>
  </si>
  <si>
    <t>H061052-1</t>
  </si>
  <si>
    <t>PANEL, TOILET SEAT COVER</t>
  </si>
  <si>
    <t>H061091-1</t>
  </si>
  <si>
    <t>TOILET SEAT COVER</t>
  </si>
  <si>
    <t>H081038-501</t>
  </si>
  <si>
    <t>PANEL SUBASSY, FRONT SIDE</t>
  </si>
  <si>
    <t>H081038-1</t>
  </si>
  <si>
    <t>PANEL, FRONT SIDE</t>
  </si>
  <si>
    <t>MS35206-213</t>
  </si>
  <si>
    <t>H082014-505</t>
  </si>
  <si>
    <t>EAFA</t>
  </si>
  <si>
    <t>PANEL ASSY, SHROUD, CMS</t>
  </si>
  <si>
    <t>H082014-11</t>
  </si>
  <si>
    <t>SEAL</t>
  </si>
  <si>
    <t>H082014-13</t>
  </si>
  <si>
    <t>H082014-15</t>
  </si>
  <si>
    <t>H082014-603</t>
  </si>
  <si>
    <t>PANEL SUBASSY, SHROUD, CMS</t>
  </si>
  <si>
    <t>H082014-3</t>
  </si>
  <si>
    <t>PANEL, DETAIL, CMS FAIRING</t>
  </si>
  <si>
    <t>H082204-501</t>
  </si>
  <si>
    <t>H081110-5</t>
  </si>
  <si>
    <t>H081135-3</t>
  </si>
  <si>
    <t>CATCH, GRAB</t>
  </si>
  <si>
    <t>MS20426AD3-3-5</t>
  </si>
  <si>
    <t>RIVET, FLAT HEAD, SOLID, 3/32, AL 2117-T4, CHEM FILM, GENERAL</t>
  </si>
  <si>
    <t>MS21075L08N</t>
  </si>
  <si>
    <t>NUTPLATE  #8-32</t>
  </si>
  <si>
    <t>NAS514P832-9P</t>
  </si>
  <si>
    <t>H082204-505</t>
  </si>
  <si>
    <t>H081110-11</t>
  </si>
  <si>
    <t>H082218-505</t>
  </si>
  <si>
    <t>PSU MIRROR, ASSY, L1, LH</t>
  </si>
  <si>
    <t>1005-042-001</t>
  </si>
  <si>
    <t>LAVATORY PASSENGER SERVICE UNIT</t>
  </si>
  <si>
    <t>SJS830200</t>
  </si>
  <si>
    <t>RECEPTACLE</t>
  </si>
  <si>
    <t>H062108-3</t>
  </si>
  <si>
    <t>BRACKET, FIX PSU</t>
  </si>
  <si>
    <t>H082102-7</t>
  </si>
  <si>
    <t>BRACKET, PSU INFO BAR UNIT</t>
  </si>
  <si>
    <t>H082126-1</t>
  </si>
  <si>
    <t>PLATE, PSU UNIT</t>
  </si>
  <si>
    <t>H082127-1</t>
  </si>
  <si>
    <t>PLATE, PSU UNIT, INBD</t>
  </si>
  <si>
    <t>H082165-1</t>
  </si>
  <si>
    <t>LENS. COUNTERTOP LIGHT</t>
  </si>
  <si>
    <t>H082219-503</t>
  </si>
  <si>
    <t>PANEL ASSY, PSU MIRROR, L1, LH</t>
  </si>
  <si>
    <t>H082219-3</t>
  </si>
  <si>
    <t>PANEL, PSU MIRROR, L1, LH</t>
  </si>
  <si>
    <t>SJS445000</t>
  </si>
  <si>
    <t>CRADLE, CONNECTOR MOUNTING</t>
  </si>
  <si>
    <t>H082505-501</t>
  </si>
  <si>
    <t>COUNTERTOP ASSY, W/ SOAP DISP, SS BOWL, L1</t>
  </si>
  <si>
    <t>AR9419-3D74</t>
  </si>
  <si>
    <t>DRAIN VALVE</t>
  </si>
  <si>
    <t>H061136-1</t>
  </si>
  <si>
    <t>SUPPORT BABY CHANGE TABLE, COUNTERTOP ASSY, L1</t>
  </si>
  <si>
    <t>H061227-503</t>
  </si>
  <si>
    <t>FAUCET PROVISIONS, ASSY</t>
  </si>
  <si>
    <t>H061121-3</t>
  </si>
  <si>
    <t>DOUBLER, FAUCET</t>
  </si>
  <si>
    <t>MS20426A3-3</t>
  </si>
  <si>
    <t>Rivet, Flat Head, Solid, 3/32, Al 1100F, Chem Film, General</t>
  </si>
  <si>
    <t>MS21073L08</t>
  </si>
  <si>
    <t>Nut Plate, Corner, Small, #8-32, Alloy Steel, 125 ksi, General</t>
  </si>
  <si>
    <t>H081119-505</t>
  </si>
  <si>
    <t>ASSY DOUBLER</t>
  </si>
  <si>
    <t>H081119-9</t>
  </si>
  <si>
    <t>H081132-11</t>
  </si>
  <si>
    <t>HOLDER, SOAP BOTTLE, L1</t>
  </si>
  <si>
    <t>H081306-517</t>
  </si>
  <si>
    <t>COUNTERTOP ASSY, L1 LH OPTIONAL</t>
  </si>
  <si>
    <t>CDSP5905-08-08</t>
  </si>
  <si>
    <t>H081110-9</t>
  </si>
  <si>
    <t>BOWL STAINLESS STEEL, OPTIONAL</t>
  </si>
  <si>
    <t>H081305-3</t>
  </si>
  <si>
    <t>EAJC</t>
  </si>
  <si>
    <t>Make From</t>
  </si>
  <si>
    <t>COUNTERTOP, W/ SOAP DISPENSER, SS BOWL , L1 ,LH</t>
  </si>
  <si>
    <t>H082129-1</t>
  </si>
  <si>
    <t>H082168-5</t>
  </si>
  <si>
    <t>NAS1149C0316R</t>
  </si>
  <si>
    <t>NAS514P1032-15B</t>
  </si>
  <si>
    <t>SCREW, MACHINE, 100°, FLAT HEAD, FULL THREADED, ALLOY STEEL</t>
  </si>
  <si>
    <t>NAS514P1032-8</t>
  </si>
  <si>
    <t>H089002-513</t>
  </si>
  <si>
    <t>AAK</t>
  </si>
  <si>
    <t>FLOOR PAN ASSY, L1, LH</t>
  </si>
  <si>
    <t>H061159-3</t>
  </si>
  <si>
    <t>PLATE, TOILET CLIPPING</t>
  </si>
  <si>
    <t>H061159-5</t>
  </si>
  <si>
    <t>CLIP, FLOOR PAN</t>
  </si>
  <si>
    <t>H081167-17</t>
  </si>
  <si>
    <t>SEAL, FLOOR PAN</t>
  </si>
  <si>
    <t>H081167-19</t>
  </si>
  <si>
    <t>H081189-1</t>
  </si>
  <si>
    <t>EABY</t>
  </si>
  <si>
    <t>FLOOR MAT DETAIL FWD</t>
  </si>
  <si>
    <t>H081247-511</t>
  </si>
  <si>
    <t>H081127-3</t>
  </si>
  <si>
    <t>BRACKET SUPPORT, FLOOR PAN AFT</t>
  </si>
  <si>
    <t>H081188-11</t>
  </si>
  <si>
    <t>FLOOR PAN DETAIL, L1</t>
  </si>
  <si>
    <t>H082166-1</t>
  </si>
  <si>
    <t>SPACER, UNDER FLOOR PAN</t>
  </si>
  <si>
    <t>H082189-1</t>
  </si>
  <si>
    <t>H082190-1</t>
  </si>
  <si>
    <t>NAS1398B4-3</t>
  </si>
  <si>
    <t>RIVET, BLIND</t>
  </si>
  <si>
    <t>H328126-593</t>
  </si>
  <si>
    <t>GAP SEAL ASSY</t>
  </si>
  <si>
    <t>CDSP9204-013</t>
  </si>
  <si>
    <t>H082173-5</t>
  </si>
  <si>
    <t>H328126-93</t>
  </si>
  <si>
    <t>GAP SEAL</t>
  </si>
  <si>
    <t>H328128-501</t>
  </si>
  <si>
    <t>CDSP9204-014</t>
  </si>
  <si>
    <t>H328128-1</t>
  </si>
  <si>
    <t>H328128-503</t>
  </si>
  <si>
    <t>H328128-3</t>
  </si>
  <si>
    <t>MS51958-63</t>
  </si>
  <si>
    <t>NAS1149C2N32R</t>
  </si>
  <si>
    <t>Washer, Flat, #12, Cres, Passivate, General</t>
  </si>
  <si>
    <t>NAS1169DD6L</t>
  </si>
  <si>
    <t>Washer, Dimpled, 100 deg., #6, Al 2024-T3, Anodize, General</t>
  </si>
  <si>
    <t>NAS1169DD8L</t>
  </si>
  <si>
    <t>Washer, Dimpled, 100 deg., #8, Al 2024-T3, Anodize, General</t>
  </si>
  <si>
    <t>NAS514P632-7</t>
  </si>
  <si>
    <t>NAS517-3-5</t>
  </si>
  <si>
    <t>└197-75237AAH449</t>
  </si>
  <si>
    <t>|       └-H083001AAE127</t>
  </si>
  <si>
    <t>|       |       └H061201-527</t>
  </si>
  <si>
    <t>|       |       |       └CDSP1120-6</t>
  </si>
  <si>
    <t>|       |       |       └H061106-11</t>
  </si>
  <si>
    <t>|       |       |       └H061135-11</t>
  </si>
  <si>
    <t>|       |       |       └H061135-13</t>
  </si>
  <si>
    <t>|       |       |       └H083701-501</t>
  </si>
  <si>
    <t>|       |       |       |       └48-7190</t>
  </si>
  <si>
    <t>|       |       |       |       └48-7191</t>
  </si>
  <si>
    <t>|       |       |       |       └H061138-1</t>
  </si>
  <si>
    <t>|       |       |       |       └M8805/109-01</t>
  </si>
  <si>
    <t>|       |       |       └MS20426AD3-4</t>
  </si>
  <si>
    <t>|       |       |       └MS20426AD3-5</t>
  </si>
  <si>
    <t>|       |       |       └MS21042-02</t>
  </si>
  <si>
    <t>|       |       |       └NAS662-2-10</t>
  </si>
  <si>
    <t>|       |       |       └NAS662-2-5</t>
  </si>
  <si>
    <t>|       |       └H081157-13</t>
  </si>
  <si>
    <t>|       |       └H081158-7</t>
  </si>
  <si>
    <t>|       |       └H082212-501</t>
  </si>
  <si>
    <t>|       |       |       └H061149-1</t>
  </si>
  <si>
    <t>|       |       |       └NAS1330A08K106</t>
  </si>
  <si>
    <t>|       |       └-H083001AAA501</t>
  </si>
  <si>
    <t>|       |       |       └9341362-1</t>
  </si>
  <si>
    <t>|       |       |       └CDSP5501-025</t>
  </si>
  <si>
    <t>|       |       |       └D516072-501</t>
  </si>
  <si>
    <t>|       |       |       |       └CDSP5816-14</t>
  </si>
  <si>
    <t>|       |       |       |       └D512707-1</t>
  </si>
  <si>
    <t>|       |       |       |       └D512882-1</t>
  </si>
  <si>
    <t>|       |       |       |       └MS20253-2-168</t>
  </si>
  <si>
    <t>|       |       |       └-H081030EAAC503</t>
  </si>
  <si>
    <t>|       |       |       |       └9014084-3</t>
  </si>
  <si>
    <t>|       |       |       |       └9158109-501</t>
  </si>
  <si>
    <t>|       |       |       |       |       └9158109-1</t>
  </si>
  <si>
    <t>|       |       |       |       |       └9158109-601</t>
  </si>
  <si>
    <t>|       |       |       |       |       |       └6035-04BR135</t>
  </si>
  <si>
    <t>|       |       |       |       |       |       └9158109-3</t>
  </si>
  <si>
    <t>|       |       |       |       |       └DST3881</t>
  </si>
  <si>
    <t>|       |       |       |       |       └MS9486-19</t>
  </si>
  <si>
    <t>|       |       |       |       └9341316-5</t>
  </si>
  <si>
    <t>|       |       |       |       └94975A326</t>
  </si>
  <si>
    <t>|       |       |       |       └D516072-501</t>
  </si>
  <si>
    <t>|       |       |       |       |       └CDSP5816-14</t>
  </si>
  <si>
    <t>|       |       |       |       |       └D512707-1</t>
  </si>
  <si>
    <t>|       |       |       |       |       └D512882-1</t>
  </si>
  <si>
    <t>|       |       |       |       |       └MS20253-2-168</t>
  </si>
  <si>
    <t>|       |       |       |       └H081030-603</t>
  </si>
  <si>
    <t>|       |       |       |       |       └CDSP5905-08-13</t>
  </si>
  <si>
    <t>|       |       |       |       |       └CDSP5905-3-13</t>
  </si>
  <si>
    <t>|       |       |       |       |       └H081030-3</t>
  </si>
  <si>
    <t>|       |       |       |       └H274503-1</t>
  </si>
  <si>
    <t>|       |       |       |       └H274503-3</t>
  </si>
  <si>
    <t>|       |       |       |       └MS35206-212</t>
  </si>
  <si>
    <t>|       |       |       |       └MS35207-261</t>
  </si>
  <si>
    <t>|       |       |       |       └MS51958-60</t>
  </si>
  <si>
    <t>|       |       |       |       └NAS1149C0332R</t>
  </si>
  <si>
    <t>|       |       |       |       └NAS1149F0332P</t>
  </si>
  <si>
    <t>|       |       |       |       └NAS1149FN432P</t>
  </si>
  <si>
    <t>|       |       |       |       └NAS514P832-5</t>
  </si>
  <si>
    <t>|       |       |       └MS35207-261</t>
  </si>
  <si>
    <t>|       |       |       └MS35207-264</t>
  </si>
  <si>
    <t>|       |       |       └MS51958-60</t>
  </si>
  <si>
    <t>|       |       |       └NAS1149C0332R</t>
  </si>
  <si>
    <t>|       |       |       └NAS1149F0332P</t>
  </si>
  <si>
    <t>|       |       └H083003-503</t>
  </si>
  <si>
    <t>|       |       |       └H081116-7</t>
  </si>
  <si>
    <t>|       |       |       └H081167-507</t>
  </si>
  <si>
    <t>|       |       |       |       └CDSP5904-3-1000</t>
  </si>
  <si>
    <t>|       |       |       |       └CDSP5905-08-13</t>
  </si>
  <si>
    <t>|       |       |       |       └H081167-7</t>
  </si>
  <si>
    <t>|       |       |       └H081201-519</t>
  </si>
  <si>
    <t>|       |       |       |       └H082301-7</t>
  </si>
  <si>
    <t>|       |       |       └H082170-3</t>
  </si>
  <si>
    <t>|       |       |       └H082171-3</t>
  </si>
  <si>
    <t>|       |       |       └H082172-3</t>
  </si>
  <si>
    <t>|       |       |       └H082173-3</t>
  </si>
  <si>
    <t>|       |       |       └H082211-501</t>
  </si>
  <si>
    <t>|       |       |       |       └CDSP5904-3-980</t>
  </si>
  <si>
    <t>|       |       |       |       └CDSP5905-3-13</t>
  </si>
  <si>
    <t>|       |       |       |       └H082188-1</t>
  </si>
  <si>
    <t>|       |       |       └H123301-501</t>
  </si>
  <si>
    <t>|       |       |       |       └H123301-1</t>
  </si>
  <si>
    <t>|       |       |       |       └H123301-3</t>
  </si>
  <si>
    <t>|       |       |       └MS35207-266</t>
  </si>
  <si>
    <t>|       |       |       └NAS1149G0332P</t>
  </si>
  <si>
    <t>|       |       |       └NAS517-3-13</t>
  </si>
  <si>
    <t>|       |       |       └NAS517-3-15</t>
  </si>
  <si>
    <t>|       |       |       └NAS623-3-14</t>
  </si>
  <si>
    <t>|       |       └-H083004AAA517</t>
  </si>
  <si>
    <t>|       |       |       └CDSP2210-501</t>
  </si>
  <si>
    <t>|       |       |       |       └CDSP2210-1</t>
  </si>
  <si>
    <t>|       |       |       |       └NAS1394-3L</t>
  </si>
  <si>
    <t>|       |       |       └CDSP2211-1</t>
  </si>
  <si>
    <t>|       |       |       └H061070-1</t>
  </si>
  <si>
    <t>|       |       |       └H072131-7</t>
  </si>
  <si>
    <t>|       |       |       └H081031-521</t>
  </si>
  <si>
    <t>|       |       |       |       └H061201-505</t>
  </si>
  <si>
    <t>|       |       |       |       |       └H065009-7</t>
  </si>
  <si>
    <t>|       |       |       |       |       └NAS1330Z08K106</t>
  </si>
  <si>
    <t>|       |       |       |       └H061300-504</t>
  </si>
  <si>
    <t>|       |       |       |       |       └AKS4-832-80L</t>
  </si>
  <si>
    <t>|       |       |       |       |       └H065009-12</t>
  </si>
  <si>
    <t>|       |       |       |       └H081031-621</t>
  </si>
  <si>
    <t>|       |       |       |       |       └CDSP5905-3-10</t>
  </si>
  <si>
    <t>|       |       |       |       |       └CDSP5905-3-20</t>
  </si>
  <si>
    <t>|       |       |       |       |       └H081031-21</t>
  </si>
  <si>
    <t>|       |       |       |       └H081279-501</t>
  </si>
  <si>
    <t>|       |       |       |       |       └H082009-15</t>
  </si>
  <si>
    <t>|       |       |       └H081034-501</t>
  </si>
  <si>
    <t>|       |       |       |       └CDSP5905-3-12</t>
  </si>
  <si>
    <t>|       |       |       |       └CDSP5907-3-3</t>
  </si>
  <si>
    <t>|       |       |       |       └CDSP5907-4C3</t>
  </si>
  <si>
    <t>|       |       |       |       └H081034-1</t>
  </si>
  <si>
    <t>|       |       |       └H081041-501</t>
  </si>
  <si>
    <t>|       |       |       |       └CDSP5905C3-13M</t>
  </si>
  <si>
    <t>|       |       |       |       └H081041-1</t>
  </si>
  <si>
    <t>|       |       |       └H081051-503</t>
  </si>
  <si>
    <t>|       |       |       |       └CDSP5905-08-12</t>
  </si>
  <si>
    <t>|       |       |       |       └H081051-3</t>
  </si>
  <si>
    <t>|       |       |       └H081074-501</t>
  </si>
  <si>
    <t>|       |       |       |       └CDSP5905C3-10</t>
  </si>
  <si>
    <t>|       |       |       |       └H081074-1</t>
  </si>
  <si>
    <t>|       |       |       └H081075-3</t>
  </si>
  <si>
    <t>|       |       |       └-H081081AAA509</t>
  </si>
  <si>
    <t>|       |       |       |       └H081033-505</t>
  </si>
  <si>
    <t>|       |       |       |       |       └CDSP5905-06-10</t>
  </si>
  <si>
    <t>|       |       |       |       |       └CDSP5905C3-10</t>
  </si>
  <si>
    <t>|       |       |       |       |       └H081033-5</t>
  </si>
  <si>
    <t>|       |       |       |       └H081061-509</t>
  </si>
  <si>
    <t>|       |       |       |       |       └CDSP5907-08-3</t>
  </si>
  <si>
    <t>|       |       |       |       |       └H081061-9</t>
  </si>
  <si>
    <t>|       |       |       └H081103-1</t>
  </si>
  <si>
    <t>|       |       |       └H081106-7</t>
  </si>
  <si>
    <t>|       |       |       └H081107-3</t>
  </si>
  <si>
    <t>|       |       |       └H081108-9</t>
  </si>
  <si>
    <t>|       |       |       └H081115-3</t>
  </si>
  <si>
    <t>|       |       |       └H081115-5</t>
  </si>
  <si>
    <t>|       |       |       └H081116-5</t>
  </si>
  <si>
    <t>|       |       |       └H081126-1</t>
  </si>
  <si>
    <t>|       |       |       └H081133-1</t>
  </si>
  <si>
    <t>|       |       |       └H081138-1</t>
  </si>
  <si>
    <t>|       |       |       └H081138-3</t>
  </si>
  <si>
    <t>|       |       |       └H081153-1</t>
  </si>
  <si>
    <t>|       |       |       └H081155-1</t>
  </si>
  <si>
    <t>|       |       |       └H081176-3</t>
  </si>
  <si>
    <t>|       |       |       └H081202-509</t>
  </si>
  <si>
    <t>|       |       |       |       └H081116-3</t>
  </si>
  <si>
    <t>|       |       |       |       └MS20426AD3-4</t>
  </si>
  <si>
    <t>|       |       |       |       └NAS1791C3-3</t>
  </si>
  <si>
    <t>|       |       |       └H081254-501</t>
  </si>
  <si>
    <t>|       |       |       |       └H081102-3</t>
  </si>
  <si>
    <t>|       |       |       └H081255-501</t>
  </si>
  <si>
    <t>|       |       |       |       └H081102-7</t>
  </si>
  <si>
    <t>|       |       |       └H081259-503</t>
  </si>
  <si>
    <t>|       |       |       |       └H082103-1</t>
  </si>
  <si>
    <t>|       |       |       └H081312-1</t>
  </si>
  <si>
    <t>|       |       |       └H081312-3</t>
  </si>
  <si>
    <t>|       |       |       └H082016-3</t>
  </si>
  <si>
    <t>|       |       |       └H082017-1</t>
  </si>
  <si>
    <t>|       |       |       └H082032-517</t>
  </si>
  <si>
    <t>|       |       |       |       └CDSP4714-1-230</t>
  </si>
  <si>
    <t>|       |       |       |       └CDSP4714-3-10</t>
  </si>
  <si>
    <t>|       |       |       |       └CDSP4714-3-385</t>
  </si>
  <si>
    <t>|       |       |       |       └CDSP4714-3-42</t>
  </si>
  <si>
    <t>|       |       |       |       └CDSP4714-3-50</t>
  </si>
  <si>
    <t>|       |       |       |       └H081132-9</t>
  </si>
  <si>
    <t>|       |       |       |       └H081133-3</t>
  </si>
  <si>
    <t>|       |       |       |       └H081170-3</t>
  </si>
  <si>
    <t>|       |       |       |       └H082032-617</t>
  </si>
  <si>
    <t>|       |       |       |       |       └CDIN07-04-07</t>
  </si>
  <si>
    <t>|       |       |       |       |       └CDIN07-04-12B</t>
  </si>
  <si>
    <t>|       |       |       |       |       └CDIN07D3-07</t>
  </si>
  <si>
    <t>|       |       |       |       |       └CDSP5905-08-28</t>
  </si>
  <si>
    <t>|       |       |       |       |       └CDSP5905-3-28</t>
  </si>
  <si>
    <t>|       |       |       |       |       └CDSP5906-3-1000</t>
  </si>
  <si>
    <t>|       |       |       |       |       └H082032-17</t>
  </si>
  <si>
    <t>|       |       |       |       |       └NAS1836-08-12</t>
  </si>
  <si>
    <t>|       |       |       |       └H082203-501</t>
  </si>
  <si>
    <t>|       |       |       |       |       └AK32BS</t>
  </si>
  <si>
    <t>|       |       |       |       |       └H082009-17</t>
  </si>
  <si>
    <t>|       |       |       |       |       └MS21059L3</t>
  </si>
  <si>
    <t>|       |       |       |       └H082210-501</t>
  </si>
  <si>
    <t>|       |       |       |       |       └H082009-19</t>
  </si>
  <si>
    <t>|       |       |       └H082107-1</t>
  </si>
  <si>
    <t>|       |       |       └H082113-1</t>
  </si>
  <si>
    <t>|       |       |       └H082123-1</t>
  </si>
  <si>
    <t>|       |       |       └H082124-1</t>
  </si>
  <si>
    <t>|       |       |       └H082132-9</t>
  </si>
  <si>
    <t>|       |       |       └H082133-1</t>
  </si>
  <si>
    <t>|       |       |       └H082133-3</t>
  </si>
  <si>
    <t>|       |       |       └H082158-1</t>
  </si>
  <si>
    <t>|       |       |       └H082216-501</t>
  </si>
  <si>
    <t>|       |       |       |       └H082104-1</t>
  </si>
  <si>
    <t>|       |       |       └H082217-501</t>
  </si>
  <si>
    <t>|       |       |       |       └H081101-9</t>
  </si>
  <si>
    <t>|       |       |       └MS16624-4062</t>
  </si>
  <si>
    <t>|       |       |       └NAS514P1032-6</t>
  </si>
  <si>
    <t>|       |       |       └NAS517-3-0</t>
  </si>
  <si>
    <t>|       |       |       └NAS603-10P</t>
  </si>
  <si>
    <t>|       |       └H083005-513</t>
  </si>
  <si>
    <t>|       |       |       └820-000207-12C5</t>
  </si>
  <si>
    <t>|       |       |       |       └820-000207-12C5-1</t>
  </si>
  <si>
    <t>|       |       |       |       └D369-P33-NP1</t>
  </si>
  <si>
    <t>|       |       |       └CDEL101-87</t>
  </si>
  <si>
    <t>|       |       |       └CDEL1029-1</t>
  </si>
  <si>
    <t>|       |       |       └CDEL1029-3</t>
  </si>
  <si>
    <t>|       |       |       └CDEL1029-501</t>
  </si>
  <si>
    <t>|       |       |       └CDEL1029-503</t>
  </si>
  <si>
    <t>|       |       |       |       └CDEL1029-11</t>
  </si>
  <si>
    <t>|       |       |       |       └CDEL1029-23</t>
  </si>
  <si>
    <t>|       |       |       └CDEL1029-505</t>
  </si>
  <si>
    <t>|       |       |       └CDEL1029-533</t>
  </si>
  <si>
    <t>|       |       |       └CDPL136-GS53021</t>
  </si>
  <si>
    <t>|       |       |       └CDPL136-J53025</t>
  </si>
  <si>
    <t>|       |       |       └CDPL136-J53035</t>
  </si>
  <si>
    <t>|       |       |       └CDPL136-J53051</t>
  </si>
  <si>
    <t>|       |       |       └CDPL136-P53001</t>
  </si>
  <si>
    <t>|       |       |       └CDPL136-P53008</t>
  </si>
  <si>
    <t>|       |       |       └CDPL136-P53009</t>
  </si>
  <si>
    <t>|       |       |       └CDPL136-P53011</t>
  </si>
  <si>
    <t>|       |       |       └CDPL136-P53013</t>
  </si>
  <si>
    <t>|       |       |       └CDPL136-P53014</t>
  </si>
  <si>
    <t>|       |       |       └CDPL136-P53015</t>
  </si>
  <si>
    <t>|       |       |       └CDPL136-P53019</t>
  </si>
  <si>
    <t>|       |       |       └CDPL136-P53020</t>
  </si>
  <si>
    <t>|       |       |       └CDPL136-P53025</t>
  </si>
  <si>
    <t>|       |       |       └CDPL136-P53032</t>
  </si>
  <si>
    <t>|       |       |       └CDPL136-P53033</t>
  </si>
  <si>
    <t>|       |       |       └CDPL136-P53037</t>
  </si>
  <si>
    <t>|       |       |       └CDPL136-P53050</t>
  </si>
  <si>
    <t>|       |       |       └CDSP6601-8N-0395</t>
  </si>
  <si>
    <t>|       |       |       └CDSP6601-8N-0416</t>
  </si>
  <si>
    <t>|       |       |       └CDSP6601-8N-0628</t>
  </si>
  <si>
    <t>|       |       |       └CSCS</t>
  </si>
  <si>
    <t>|       |       |       └H011238-5</t>
  </si>
  <si>
    <t>|       |       |       └H041190-501</t>
  </si>
  <si>
    <t>|       |       |       |       └320-000405-100</t>
  </si>
  <si>
    <t>|       |       |       |       └H011090-1</t>
  </si>
  <si>
    <t>|       |       |       └H061251-501</t>
  </si>
  <si>
    <t>|       |       |       |       └7277125-5</t>
  </si>
  <si>
    <t>|       |       |       |       └MS24693-2B</t>
  </si>
  <si>
    <t>|       |       |       |       └SMR-04V-B</t>
  </si>
  <si>
    <t>|       |       |       └H082701-507</t>
  </si>
  <si>
    <t>|       |       |       |       └805-001-16M8-4PA</t>
  </si>
  <si>
    <t>|       |       |       |       └809A060-1R</t>
  </si>
  <si>
    <t>|       |       |       |       └D38999-26MC8SN</t>
  </si>
  <si>
    <t>|       |       |       |       └M85049-38-13A</t>
  </si>
  <si>
    <t>|       |       |       └H082703-505</t>
  </si>
  <si>
    <t>|       |       |       |       └202K121-25-225-0</t>
  </si>
  <si>
    <t>|       |       |       |       └48-7191-1</t>
  </si>
  <si>
    <t>|       |       |       |       └805-001-16M11-4PA</t>
  </si>
  <si>
    <t>|       |       |       └H082705-525</t>
  </si>
  <si>
    <t>|       |       |       |       └03-06-2023</t>
  </si>
  <si>
    <t>|       |       |       |       └1658646-1</t>
  </si>
  <si>
    <t>|       |       |       |       └2-1241961-7</t>
  </si>
  <si>
    <t>|       |       |       |       └222K121-25-225-0</t>
  </si>
  <si>
    <t>|       |       |       |       └50845-1</t>
  </si>
  <si>
    <t>|       |       |       |       └620MS064ZNU09</t>
  </si>
  <si>
    <t>|       |       |       |       └62187-2</t>
  </si>
  <si>
    <t>|       |       |       |       └770-003S105</t>
  </si>
  <si>
    <t>|       |       |       |       └770-004S306W2</t>
  </si>
  <si>
    <t>|       |       |       |       └805-001-16M15-220PA</t>
  </si>
  <si>
    <t>|       |       |       |       └805-004-02M11-19SA</t>
  </si>
  <si>
    <t>|       |       |       |       └D110278-4</t>
  </si>
  <si>
    <t>|       |       |       |       |       └D110278</t>
  </si>
  <si>
    <t>|       |       |       |       └D369-R33-NS1</t>
  </si>
  <si>
    <t>|       |       |       |       └D369-STB-3</t>
  </si>
  <si>
    <t>|       |       |       |       └D38999-26FE35PN</t>
  </si>
  <si>
    <t>|       |       |       |       └D38999-26MC35SN</t>
  </si>
  <si>
    <t>|       |       |       |       └DA51220-1</t>
  </si>
  <si>
    <t>|       |       |       |       └FMK5-K201</t>
  </si>
  <si>
    <t>|       |       |       |       └M24308-26-1F</t>
  </si>
  <si>
    <t>|       |       |       |       └M24308-4-5F</t>
  </si>
  <si>
    <t>|       |       |       |       └M24308/2-2F</t>
  </si>
  <si>
    <t>|       |       |       |       └M24308/2-5F</t>
  </si>
  <si>
    <t>|       |       |       |       └M24308_2-3F</t>
  </si>
  <si>
    <t>|       |       |       |       └M85049-48-2-3F</t>
  </si>
  <si>
    <t>|       |       |       |       └M85049-85N16N02</t>
  </si>
  <si>
    <t>|       |       |       |       └M85049-88-17N02</t>
  </si>
  <si>
    <t>|       |       |       |       └M85049/50-2F</t>
  </si>
  <si>
    <t>|       |       |       |       └M85049/52-1-24N</t>
  </si>
  <si>
    <t>|       |       |       |       └M8504952-1-16N</t>
  </si>
  <si>
    <t>|       |       |       |       └M85049_39S13N</t>
  </si>
  <si>
    <t>|       |       |       |       └MS25036-103</t>
  </si>
  <si>
    <t>|       |       |       |       └MS25036-112</t>
  </si>
  <si>
    <t>|       |       |       |       └MS25036-144</t>
  </si>
  <si>
    <t>|       |       |       |       └MS25036-145</t>
  </si>
  <si>
    <t>|       |       |       |       └MS25036-149</t>
  </si>
  <si>
    <t>|       |       |       |       └MS27467T17F35P</t>
  </si>
  <si>
    <t>|       |       |       |       └MS3476L16-23P</t>
  </si>
  <si>
    <t>|       |       |       |       └MS3476L24-61P</t>
  </si>
  <si>
    <t>|       |       |       |       └SMP-04V-BC</t>
  </si>
  <si>
    <t>|       |       |       └H082760-517</t>
  </si>
  <si>
    <t>|       |       |       |       └CDEL1029-501</t>
  </si>
  <si>
    <t>|       |       |       |       └CDEL3005-501-00700</t>
  </si>
  <si>
    <t>|       |       |       |       |       └50845-2</t>
  </si>
  <si>
    <t>|       |       |       |       └CDEL3005-501-01000</t>
  </si>
  <si>
    <t>|       |       |       |       └CDEL3006-10-HH1-004-1</t>
  </si>
  <si>
    <t>|       |       |       |       |       └2-36161-4</t>
  </si>
  <si>
    <t>|       |       |       |       └CDEL3006-10-HH1-017-1</t>
  </si>
  <si>
    <t>|       |       |       |       └CDPL136-GS53001</t>
  </si>
  <si>
    <t>|       |       |       |       └CDPL136-GS53002</t>
  </si>
  <si>
    <t>|       |       |       |       └CDPL136-GS53006</t>
  </si>
  <si>
    <t>|       |       |       |       └CDPL136-GS53007</t>
  </si>
  <si>
    <t>|       |       |       |       └CDPL136-GS53008</t>
  </si>
  <si>
    <t>|       |       |       |       └CDPL136-GS53009</t>
  </si>
  <si>
    <t>|       |       |       |       └CDPL136-GS53010</t>
  </si>
  <si>
    <t>|       |       |       |       └CDPL136-GS53012</t>
  </si>
  <si>
    <t>|       |       |       |       └CDPL136-GS53013</t>
  </si>
  <si>
    <t>|       |       |       |       └CDPL136-GS53014</t>
  </si>
  <si>
    <t>|       |       |       |       └CDPL136-GS53026</t>
  </si>
  <si>
    <t>|       |       |       |       └H082701-1</t>
  </si>
  <si>
    <t>|       |       |       |       └H082701-11</t>
  </si>
  <si>
    <t>|       |       |       |       └H082701-3</t>
  </si>
  <si>
    <t>|       |       |       |       └H082701-5</t>
  </si>
  <si>
    <t>|       |       |       |       └H082701-7</t>
  </si>
  <si>
    <t>|       |       |       |       └MS3367-4-9</t>
  </si>
  <si>
    <t>|       |       |       |       └MS35338-138</t>
  </si>
  <si>
    <t>|       |       |       |       └MS51958-61</t>
  </si>
  <si>
    <t>|       |       |       |       └MS51958-62</t>
  </si>
  <si>
    <t>|       |       |       |       └NAS8303-4</t>
  </si>
  <si>
    <t>|       |       |       |       └NAS8303-5</t>
  </si>
  <si>
    <t>|       |       |       └MS21042L02</t>
  </si>
  <si>
    <t>|       |       |       └MS21266-1N</t>
  </si>
  <si>
    <t>|       |       |       └MS21266-5N</t>
  </si>
  <si>
    <t>|       |       |       └MS21266-8N</t>
  </si>
  <si>
    <t>|       |       |       └MS3367-4-9</t>
  </si>
  <si>
    <t>|       |       |       └MS35206-204</t>
  </si>
  <si>
    <t>|       |       |       └MS35206-242</t>
  </si>
  <si>
    <t>|       |       |       └MS35206-243</t>
  </si>
  <si>
    <t>|       |       |       └MS35338-42</t>
  </si>
  <si>
    <t>|       |       |       └NAS1149F0316P</t>
  </si>
  <si>
    <t>|       |       |       └NAS1149FN232P</t>
  </si>
  <si>
    <t>|       |       |       └NAS1149FN832P</t>
  </si>
  <si>
    <t>|       |       |       └NAS1368N6A</t>
  </si>
  <si>
    <t>|       |       |       └NAS1368N8A</t>
  </si>
  <si>
    <t>|       |       |       └NAS514P1032-8B</t>
  </si>
  <si>
    <t>|       |       └H083006-501</t>
  </si>
  <si>
    <t>|       |       |       └CDSP5501-020</t>
  </si>
  <si>
    <t>|       |       |       └CDSP5501-050</t>
  </si>
  <si>
    <t>|       |       |       └H081134-1</t>
  </si>
  <si>
    <t>|       |       |       └H081219-501</t>
  </si>
  <si>
    <t>|       |       |       |       └H081147-1</t>
  </si>
  <si>
    <t>|       |       |       |       └NAS1368N16A</t>
  </si>
  <si>
    <t>|       |       |       └MS35206-245</t>
  </si>
  <si>
    <t>|       |       |       └MS35206-248</t>
  </si>
  <si>
    <t>|       |       |       └NMC1005-3</t>
  </si>
  <si>
    <t>|       |       └H083007-505</t>
  </si>
  <si>
    <t>|       |       |       └503634-0</t>
  </si>
  <si>
    <t>|       |       |       └H061105-7</t>
  </si>
  <si>
    <t>|       |       |       └H061126-1</t>
  </si>
  <si>
    <t>|       |       |       └H061208-505</t>
  </si>
  <si>
    <t>|       |       |       |       └H061181-3</t>
  </si>
  <si>
    <t>|       |       |       |       └H061193-1</t>
  </si>
  <si>
    <t>|       |       |       └H061265-505</t>
  </si>
  <si>
    <t>|       |       |       |       └70586</t>
  </si>
  <si>
    <t>|       |       |       |       └H061312-3</t>
  </si>
  <si>
    <t>|       |       |       |       └H062164-1</t>
  </si>
  <si>
    <t>|       |       |       |       └H065175-1</t>
  </si>
  <si>
    <t>|       |       |       |       └H065177-1</t>
  </si>
  <si>
    <t>|       |       |       |       └H065178-1</t>
  </si>
  <si>
    <t>|       |       |       └H062163-1</t>
  </si>
  <si>
    <t>|       |       |       └H081109-9</t>
  </si>
  <si>
    <t>|       |       |       └H081119-7</t>
  </si>
  <si>
    <t>|       |       |       └H081135-1</t>
  </si>
  <si>
    <t>|       |       |       └H081161-9</t>
  </si>
  <si>
    <t>|       |       |       └H111131-3</t>
  </si>
  <si>
    <t>|       |       |       └H111204-501</t>
  </si>
  <si>
    <t>|       |       |       |       └CDSP6702-3-02AS</t>
  </si>
  <si>
    <t>|       |       |       |       └H111204-1</t>
  </si>
  <si>
    <t>|       |       |       |       └MS21059L3</t>
  </si>
  <si>
    <t>|       |       |       └H111207-501</t>
  </si>
  <si>
    <t>|       |       |       |       └H081165-9</t>
  </si>
  <si>
    <t>|       |       |       |       └H111207-1</t>
  </si>
  <si>
    <t>|       |       |       └MS35207-243</t>
  </si>
  <si>
    <t>|       |       |       └MS51958-61</t>
  </si>
  <si>
    <t>|       |       |       └MS51958-64</t>
  </si>
  <si>
    <t>|       |       |       └NAS1149CN832R</t>
  </si>
  <si>
    <t>|       |       |       └NAS600-6P</t>
  </si>
  <si>
    <t>|       |       |       └NAS603-4P</t>
  </si>
  <si>
    <t>|       |       |       └NAS623-3-5</t>
  </si>
  <si>
    <t>|       |       └H083008-501</t>
  </si>
  <si>
    <t>|       |       |       └5620-179-31</t>
  </si>
  <si>
    <t>|       |       |       └CDSP2126-3</t>
  </si>
  <si>
    <t>|       |       |       └M81934/2-06C006P</t>
  </si>
  <si>
    <t>|       |       |       └MS20392-5C37</t>
  </si>
  <si>
    <t>|       |       |       └MS24665-317</t>
  </si>
  <si>
    <t>|       |       |       └NAS1149G0632P</t>
  </si>
  <si>
    <t>|       |       └H083009-503</t>
  </si>
  <si>
    <t>|       |       |       └CDSP5310-1-75BG</t>
  </si>
  <si>
    <t>|       |       |       └H081206-507</t>
  </si>
  <si>
    <t>|       |       |       |       └CDPL136-GS53025</t>
  </si>
  <si>
    <t>|       |       |       |       └H081141-5</t>
  </si>
  <si>
    <t>|       |       |       |       └H081145-1</t>
  </si>
  <si>
    <t>|       |       |       |       └H082162-1</t>
  </si>
  <si>
    <t>|       |       |       |       └MS51958-64</t>
  </si>
  <si>
    <t>|       |       |       |       └NAS8303-7</t>
  </si>
  <si>
    <t>|       |       |       └H081206-509</t>
  </si>
  <si>
    <t>|       |       |       |       └CDPL136-GS53023</t>
  </si>
  <si>
    <t>|       |       |       |       └CDPL136-GS53024</t>
  </si>
  <si>
    <t>|       |       |       |       └H081141-1</t>
  </si>
  <si>
    <t>|       |       |       |       └H081151-1</t>
  </si>
  <si>
    <t>|       |       |       └H083009-5</t>
  </si>
  <si>
    <t>|       |       |       └H083009-9</t>
  </si>
  <si>
    <t>|       |       |       └H641252-505</t>
  </si>
  <si>
    <t>|       |       |       |       └H641246-551</t>
  </si>
  <si>
    <t>|       |       |       |       |       └H641151-51</t>
  </si>
  <si>
    <t>|       |       |       |       |       └H642180-5</t>
  </si>
  <si>
    <t>|       |       |       |       └H641246-553</t>
  </si>
  <si>
    <t>|       |       |       |       |       └H641151-65</t>
  </si>
  <si>
    <t>|       |       |       |       |       └H642180-3</t>
  </si>
  <si>
    <t>|       |       |       |       └H641246-583</t>
  </si>
  <si>
    <t>|       |       |       |       |       └H641151-87</t>
  </si>
  <si>
    <t>|       |       |       |       └H641247-527</t>
  </si>
  <si>
    <t>|       |       |       |       |       └H641139-27</t>
  </si>
  <si>
    <t>|       |       |       |       └NAS1801-3-5</t>
  </si>
  <si>
    <t>|       |       └H084009-519</t>
  </si>
  <si>
    <t>|       |       |       └AKS4-632-80</t>
  </si>
  <si>
    <t>|       |       |       └H084009-19</t>
  </si>
  <si>
    <t>|       |       └H086009-15</t>
  </si>
  <si>
    <t>|       |       └MS35206-243</t>
  </si>
  <si>
    <t>|       |       └NAS1149FN816P</t>
  </si>
  <si>
    <t>|       |       └NAS514P632-6</t>
  </si>
  <si>
    <t>|       |       └NAS514P832-6</t>
  </si>
  <si>
    <t>|       └-H084002AAF111</t>
  </si>
  <si>
    <t>|       |       └H084001-501</t>
  </si>
  <si>
    <t>|       |       |       └AS21919WCG16</t>
  </si>
  <si>
    <t>|       |       |       └CDSP5501-006</t>
  </si>
  <si>
    <t>|       |       |       └CDSP5501-012</t>
  </si>
  <si>
    <t>|       |       |       └H081162-1</t>
  </si>
  <si>
    <t>|       |       |       └H081166-9</t>
  </si>
  <si>
    <t>|       |       |       └H081201-503</t>
  </si>
  <si>
    <t>|       |       |       |       └H081163-5</t>
  </si>
  <si>
    <t>|       |       |       |       └H081307-507</t>
  </si>
  <si>
    <t>|       |       |       |       |       └H081131-9</t>
  </si>
  <si>
    <t>|       |       |       |       |       └H081132-3</t>
  </si>
  <si>
    <t>|       |       |       └MS35206-240</t>
  </si>
  <si>
    <t>|       |       |       └MS35207-263</t>
  </si>
  <si>
    <t>|       |       |       └MS35842-11</t>
  </si>
  <si>
    <t>|       |       |       └NAS1149F0363P</t>
  </si>
  <si>
    <t>|       |       |       └NAS1368N20F</t>
  </si>
  <si>
    <t>|       |       |       └NAS1374A03SA231</t>
  </si>
  <si>
    <t>|       |       └H084002-503</t>
  </si>
  <si>
    <t>|       |       |       └1012</t>
  </si>
  <si>
    <t>|       |       |       └CDSP2401T-16-0675</t>
  </si>
  <si>
    <t>|       |       |       └H081107-1</t>
  </si>
  <si>
    <t>|       |       |       └H081109-1</t>
  </si>
  <si>
    <t>|       |       |       └H081110-1</t>
  </si>
  <si>
    <t>|       |       |       └H081163-7</t>
  </si>
  <si>
    <t>|       |       |       └H081163-9</t>
  </si>
  <si>
    <t>|       |       |       └H081164-11</t>
  </si>
  <si>
    <t>|       |       |       └H081164-3</t>
  </si>
  <si>
    <t>|       |       |       └H081164-9</t>
  </si>
  <si>
    <t>|       |       |       └H081165-1</t>
  </si>
  <si>
    <t>|       |       |       └H081165-11</t>
  </si>
  <si>
    <t>|       |       |       └H081166-7</t>
  </si>
  <si>
    <t>|       |       |       └H081167-1</t>
  </si>
  <si>
    <t>|       |       |       └H081169-1</t>
  </si>
  <si>
    <t>|       |       |       └H081170-1</t>
  </si>
  <si>
    <t>|       |       |       └H081173-1</t>
  </si>
  <si>
    <t>|       |       |       └H081190-1</t>
  </si>
  <si>
    <t>|       |       |       └H082129-11</t>
  </si>
  <si>
    <t>|       |       |       └H082129-17</t>
  </si>
  <si>
    <t>|       |       |       └H082129-3</t>
  </si>
  <si>
    <t>|       |       |       └H082129-5</t>
  </si>
  <si>
    <t>|       |       |       └H082129-7</t>
  </si>
  <si>
    <t>|       |       |       └H082129-9</t>
  </si>
  <si>
    <t>|       |       |       └H082168-1</t>
  </si>
  <si>
    <t>|       |       |       └H082168-13</t>
  </si>
  <si>
    <t>|       |       |       └H082168-3</t>
  </si>
  <si>
    <t>|       |       |       └H082168-7</t>
  </si>
  <si>
    <t>|       |       |       └H082168-9</t>
  </si>
  <si>
    <t>|       |       |       └MS35206-226</t>
  </si>
  <si>
    <t>|       |       |       └MS51957-42</t>
  </si>
  <si>
    <t>|       |       |       └NAS1149FN632P</t>
  </si>
  <si>
    <t>|       |       |       └NAS514P632-4</t>
  </si>
  <si>
    <t>|       |       |       └NAS514P632-4P</t>
  </si>
  <si>
    <t>|       |       |       └NAS514P832-10</t>
  </si>
  <si>
    <t>|       |       |       └NAS514P832-14</t>
  </si>
  <si>
    <t>|       |       |       └NAS514P832-16</t>
  </si>
  <si>
    <t>|       |       |       └NAS514P832-8</t>
  </si>
  <si>
    <t>|       |       |       └NAS601-14P</t>
  </si>
  <si>
    <t>|       |       |       └TL1166-P</t>
  </si>
  <si>
    <t>|       |       └-H084003AAA503</t>
  </si>
  <si>
    <t>|       |       |       └-H081025EAAC503</t>
  </si>
  <si>
    <t>|       |       |       |       └H081025-603</t>
  </si>
  <si>
    <t>|       |       |       |       |       └CDSP5905-08-06</t>
  </si>
  <si>
    <t>|       |       |       |       |       └H081025-3</t>
  </si>
  <si>
    <t>|       |       |       |       └H081112-15</t>
  </si>
  <si>
    <t>|       |       |       |       └H081144-5</t>
  </si>
  <si>
    <t>|       |       |       |       └H081207-503</t>
  </si>
  <si>
    <t>|       |       |       |       |       └H081136-3</t>
  </si>
  <si>
    <t>|       |       |       |       |       └H081137-3</t>
  </si>
  <si>
    <t>|       |       |       |       |       └MS20253P2-325</t>
  </si>
  <si>
    <t>|       |       |       |       |       └MS21318-15</t>
  </si>
  <si>
    <t>|       |       |       |       └MS35206-240</t>
  </si>
  <si>
    <t>|       |       |       |       └MS35206-241</t>
  </si>
  <si>
    <t>|       |       |       └H081172-3</t>
  </si>
  <si>
    <t>|       |       |       └H081176-5</t>
  </si>
  <si>
    <t>|       |       |       └-H081217EAAC503</t>
  </si>
  <si>
    <t>|       |       |       |       └H081217-603</t>
  </si>
  <si>
    <t>|       |       |       |       |       └CDSP5905-06-06</t>
  </si>
  <si>
    <t>|       |       |       |       |       └H081217-3</t>
  </si>
  <si>
    <t>|       |       └H084004-523</t>
  </si>
  <si>
    <t>|       |       |       └H011053-7</t>
  </si>
  <si>
    <t>|       |       |       └H081011-515</t>
  </si>
  <si>
    <t>|       |       |       |       └H081011-615</t>
  </si>
  <si>
    <t>|       |       |       |       |       └CDIN07-3-07</t>
  </si>
  <si>
    <t>|       |       |       |       |       └CDSP5905-08-10</t>
  </si>
  <si>
    <t>|       |       |       |       |       └CDSP5905-08-20</t>
  </si>
  <si>
    <t>|       |       |       |       |       └CDSP5906-3-750</t>
  </si>
  <si>
    <t>|       |       |       |       |       └H081011-15</t>
  </si>
  <si>
    <t>|       |       |       |       └H081174-501</t>
  </si>
  <si>
    <t>|       |       |       |       |       └H081174-1</t>
  </si>
  <si>
    <t>|       |       |       |       |       └NAS1394-3L</t>
  </si>
  <si>
    <t>|       |       |       |       └H081279-503</t>
  </si>
  <si>
    <t>|       |       |       |       |       └AKS4T-632-80L</t>
  </si>
  <si>
    <t>|       |       |       |       |       └AKS4T-832-80L</t>
  </si>
  <si>
    <t>|       |       |       |       |       └H082009-27</t>
  </si>
  <si>
    <t>|       |       |       └H081013-507</t>
  </si>
  <si>
    <t>|       |       |       |       └CDSP5903-3-500</t>
  </si>
  <si>
    <t>|       |       |       |       └CDSP5905-3-06</t>
  </si>
  <si>
    <t>|       |       |       |       └CDSP5906-3-500</t>
  </si>
  <si>
    <t>|       |       |       |       └H081013-7</t>
  </si>
  <si>
    <t>|       |       |       └H081014-503</t>
  </si>
  <si>
    <t>|       |       |       |       └H081014-3</t>
  </si>
  <si>
    <t>|       |       |       └H081015-505</t>
  </si>
  <si>
    <t>|       |       |       |       └H081015-5</t>
  </si>
  <si>
    <t>|       |       |       └H081017-3</t>
  </si>
  <si>
    <t>|       |       |       └H081018-1</t>
  </si>
  <si>
    <t>|       |       |       └H081019-505</t>
  </si>
  <si>
    <t>|       |       |       |       └CDSP5905-08-06</t>
  </si>
  <si>
    <t>|       |       |       |       └CDSP5905-3-09</t>
  </si>
  <si>
    <t>|       |       |       |       └CDSP5907-08-1</t>
  </si>
  <si>
    <t>|       |       |       |       └H081019-5</t>
  </si>
  <si>
    <t>|       |       |       └H081021-3</t>
  </si>
  <si>
    <t>|       |       |       └H081022-503</t>
  </si>
  <si>
    <t>|       |       |       |       └CDSP5905-06-10</t>
  </si>
  <si>
    <t>|       |       |       |       └CDSP5907-3-1</t>
  </si>
  <si>
    <t>|       |       |       |       └H081022-3</t>
  </si>
  <si>
    <t>|       |       |       └H081024-503</t>
  </si>
  <si>
    <t>|       |       |       |       └H081024-3</t>
  </si>
  <si>
    <t>|       |       |       └H081026-1</t>
  </si>
  <si>
    <t>|       |       |       └H081028-501</t>
  </si>
  <si>
    <t>|       |       |       |       └H081028-1</t>
  </si>
  <si>
    <t>|       |       |       └H081029-1</t>
  </si>
  <si>
    <t>|       |       |       └H081043-1</t>
  </si>
  <si>
    <t>|       |       |       └H081045-501</t>
  </si>
  <si>
    <t>|       |       |       |       └H081045-1</t>
  </si>
  <si>
    <t>|       |       |       └H081046-3</t>
  </si>
  <si>
    <t>|       |       |       └H081069-503</t>
  </si>
  <si>
    <t>|       |       |       |       └H081069-3</t>
  </si>
  <si>
    <t>|       |       |       └H081071-503</t>
  </si>
  <si>
    <t>|       |       |       |       └CDIN07-06-07</t>
  </si>
  <si>
    <t>|       |       |       |       └CDIN07-08-07</t>
  </si>
  <si>
    <t>|       |       |       |       └CDIN07-3-07</t>
  </si>
  <si>
    <t>|       |       |       |       └CDIN23-08A</t>
  </si>
  <si>
    <t>|       |       |       |       └CDIN23-3A</t>
  </si>
  <si>
    <t>|       |       |       |       └CDSP5905-3-07</t>
  </si>
  <si>
    <t>|       |       |       |       └CDSP5906-3-750</t>
  </si>
  <si>
    <t>|       |       |       |       └H081071-3</t>
  </si>
  <si>
    <t>|       |       |       └H081072-501</t>
  </si>
  <si>
    <t>|       |       |       |       └H081072-1</t>
  </si>
  <si>
    <t>|       |       |       └H081073-1</t>
  </si>
  <si>
    <t>|       |       |       └H081077-1</t>
  </si>
  <si>
    <t>|       |       |       └H081101-1</t>
  </si>
  <si>
    <t>|       |       |       └H081102-1</t>
  </si>
  <si>
    <t>|       |       |       └H081106-1</t>
  </si>
  <si>
    <t>|       |       |       └H081106-5</t>
  </si>
  <si>
    <t>|       |       |       └H081111-17</t>
  </si>
  <si>
    <t>|       |       |       └H081113-1</t>
  </si>
  <si>
    <t>|       |       |       └H081113-513</t>
  </si>
  <si>
    <t>|       |       |       |       └H081113-13</t>
  </si>
  <si>
    <t>|       |       |       └H081114-1</t>
  </si>
  <si>
    <t>|       |       |       └H081114-5</t>
  </si>
  <si>
    <t>|       |       |       └H081114-7</t>
  </si>
  <si>
    <t>|       |       |       └H081114-9</t>
  </si>
  <si>
    <t>|       |       |       └H081115-1</t>
  </si>
  <si>
    <t>|       |       |       └H081116-1</t>
  </si>
  <si>
    <t>|       |       |       └H081117-1</t>
  </si>
  <si>
    <t>|       |       |       └H081118-1</t>
  </si>
  <si>
    <t>|       |       |       └H081119-1</t>
  </si>
  <si>
    <t>|       |       |       └H081121-1</t>
  </si>
  <si>
    <t>|       |       |       └H081131-1</t>
  </si>
  <si>
    <t>|       |       |       └H081132-1</t>
  </si>
  <si>
    <t>|       |       |       └H081150-1</t>
  </si>
  <si>
    <t>|       |       |       └H081160-1</t>
  </si>
  <si>
    <t>|       |       |       └H081164-1</t>
  </si>
  <si>
    <t>|       |       |       └H081166-1</t>
  </si>
  <si>
    <t>|       |       |       └H081168-1</t>
  </si>
  <si>
    <t>|       |       |       └H081210-503</t>
  </si>
  <si>
    <t>|       |       |       |       └H081210-3</t>
  </si>
  <si>
    <t>|       |       |       └H081259-501</t>
  </si>
  <si>
    <t>|       |       |       |       └H081159-1</t>
  </si>
  <si>
    <t>|       |       |       └H082106-1</t>
  </si>
  <si>
    <t>|       |       |       └H082117-1</t>
  </si>
  <si>
    <t>|       |       |       └H082120-1</t>
  </si>
  <si>
    <t>|       |       |       └H082131-3</t>
  </si>
  <si>
    <t>|       |       |       └H082132-7</t>
  </si>
  <si>
    <t>|       |       |       └MS35207-259</t>
  </si>
  <si>
    <t>|       |       |       └MS35207-260</t>
  </si>
  <si>
    <t>|       |       |       └NAS514P1032-4</t>
  </si>
  <si>
    <t>|       |       |       └NAS603-4</t>
  </si>
  <si>
    <t>|       |       |       └NAS603-5</t>
  </si>
  <si>
    <t>|       |       |       └NAS603-6P</t>
  </si>
  <si>
    <t>|       |       |       └NAS603-7P</t>
  </si>
  <si>
    <t>|       |       |       └NAS603-8P</t>
  </si>
  <si>
    <t>|       |       └H084005-503</t>
  </si>
  <si>
    <t>|       |       |       └ASNE0675A02A</t>
  </si>
  <si>
    <t>|       |       |       └CDEL1029-F1</t>
  </si>
  <si>
    <t>|       |       |       └CDEL1029-F501</t>
  </si>
  <si>
    <t>|       |       |       |       └CDEL1029-F21</t>
  </si>
  <si>
    <t>|       |       |       └CDEL5006-11</t>
  </si>
  <si>
    <t>|       |       |       └CDEL5006-13</t>
  </si>
  <si>
    <t>|       |       |       └CDPL136-J53011</t>
  </si>
  <si>
    <t>|       |       |       └CDPL136-J53015</t>
  </si>
  <si>
    <t>|       |       |       └CDPL136-J53026</t>
  </si>
  <si>
    <t>|       |       |       └CDPL136-J53027</t>
  </si>
  <si>
    <t>|       |       |       └CDPL136-K53000</t>
  </si>
  <si>
    <t>|       |       |       └CDPL136-K53001</t>
  </si>
  <si>
    <t>|       |       |       └CDPL136-K53002</t>
  </si>
  <si>
    <t>|       |       |       └CDPL136-P53005</t>
  </si>
  <si>
    <t>|       |       |       └CDPL136-P53012</t>
  </si>
  <si>
    <t>|       |       |       └CDPL136-P53016</t>
  </si>
  <si>
    <t>|       |       |       └CDPL136-P53017</t>
  </si>
  <si>
    <t>|       |       |       └CDPL136-P53018</t>
  </si>
  <si>
    <t>|       |       |       └CDPL136-P53026</t>
  </si>
  <si>
    <t>|       |       |       └CDPL136-P53036</t>
  </si>
  <si>
    <t>|       |       |       └H061140-9</t>
  </si>
  <si>
    <t>|       |       |       └H061141-3</t>
  </si>
  <si>
    <t>|       |       |       └H061700-501</t>
  </si>
  <si>
    <t>|       |       |       |       └170-44180-001</t>
  </si>
  <si>
    <t>|       |       |       |       └5610-109-62</t>
  </si>
  <si>
    <t>|       |       |       |       └ABMM-D</t>
  </si>
  <si>
    <t>|       |       |       |       └CDSP4643-501</t>
  </si>
  <si>
    <t>|       |       |       |       └H061705-501</t>
  </si>
  <si>
    <t>|       |       |       |       |       └1-770849-1</t>
  </si>
  <si>
    <t>|       |       |       |       |       └103958-7</t>
  </si>
  <si>
    <t>|       |       |       |       |       └770258-1</t>
  </si>
  <si>
    <t>|       |       |       |       |       └M24308/4-2F</t>
  </si>
  <si>
    <t>|       |       |       |       |       └MS3367-4-9</t>
  </si>
  <si>
    <t>|       |       |       |       └MS21043-3</t>
  </si>
  <si>
    <t>|       |       |       |       └NAS43DD3-72N</t>
  </si>
  <si>
    <t>|       |       |       |       └NAS514P1032-30B</t>
  </si>
  <si>
    <t>|       |       |       └H081152-501</t>
  </si>
  <si>
    <t>|       |       |       |       └H081152-1</t>
  </si>
  <si>
    <t>|       |       |       └H081166-13</t>
  </si>
  <si>
    <t>|       |       |       └H082709-503</t>
  </si>
  <si>
    <t>|       |       |       |       └D369-R33-NS3</t>
  </si>
  <si>
    <t>|       |       |       |       └D38999-20MB35SN</t>
  </si>
  <si>
    <t>|       |       |       |       └M12883-41-14</t>
  </si>
  <si>
    <t>|       |       |       |       └M12883/40-17</t>
  </si>
  <si>
    <t>|       |       |       |       └M24308-25-9F</t>
  </si>
  <si>
    <t>|       |       |       |       └M85049-39S11N</t>
  </si>
  <si>
    <t>|       |       |       |       └M85049/48-2-2F</t>
  </si>
  <si>
    <t>|       |       |       |       └MS3470L16-23S</t>
  </si>
  <si>
    <t>|       |       |       |       └SJS830100</t>
  </si>
  <si>
    <t>|       |       |       |       └SJS860510</t>
  </si>
  <si>
    <t>|       |       |       └H082711-507</t>
  </si>
  <si>
    <t>|       |       |       |       └D38999-20MC8PN</t>
  </si>
  <si>
    <t>|       |       |       |       └EN3646A61412FN</t>
  </si>
  <si>
    <t>|       |       |       |       └M85049-38S13N</t>
  </si>
  <si>
    <t>|       |       |       └H082760-515</t>
  </si>
  <si>
    <t>|       |       |       |       └BACW10BP3APU</t>
  </si>
  <si>
    <t>|       |       |       |       └CDEL3005-501-00125</t>
  </si>
  <si>
    <t>|       |       |       |       └CDEL3005-501-00275</t>
  </si>
  <si>
    <t>|       |       |       |       └CDEL3005-501-0325</t>
  </si>
  <si>
    <t>|       |       |       |       └CDEL3006-10-HH1-001-1</t>
  </si>
  <si>
    <t>|       |       |       |       └CDEL3006-10-HH1-009-1</t>
  </si>
  <si>
    <t>|       |       |       |       └CDEL3006-10-HH1-013-1</t>
  </si>
  <si>
    <t>|       |       |       |       └CDPL136-GS53003</t>
  </si>
  <si>
    <t>|       |       |       |       └CDPL136-GS53004</t>
  </si>
  <si>
    <t>|       |       |       |       └CDPL136-GS53005</t>
  </si>
  <si>
    <t>|       |       |       |       └CDPL136-GS53011</t>
  </si>
  <si>
    <t>|       |       |       |       └CDPL136-GS53015</t>
  </si>
  <si>
    <t>|       |       |       |       └CDPL136-GS53016</t>
  </si>
  <si>
    <t>|       |       |       |       └CDPL136-GS53017</t>
  </si>
  <si>
    <t>|       |       |       |       └CDPL136-GS53018</t>
  </si>
  <si>
    <t>|       |       |       |       └CDPL136-GS53019</t>
  </si>
  <si>
    <t>|       |       |       |       └CDPL136-GS53020</t>
  </si>
  <si>
    <t>|       |       |       |       └CDPL136-GS53027</t>
  </si>
  <si>
    <t>|       |       |       |       └CDPL136-GS53028</t>
  </si>
  <si>
    <t>|       |       |       |       └CDPL136-GS53029</t>
  </si>
  <si>
    <t>|       |       |       |       └CDPL136-GS53030</t>
  </si>
  <si>
    <t>|       |       |       |       └CDPL136-GS53031</t>
  </si>
  <si>
    <t>|       |       |       |       └CDPL136-GS53032</t>
  </si>
  <si>
    <t>|       |       |       |       └CDPL136-GS53033</t>
  </si>
  <si>
    <t>|       |       |       |       └H082701-15</t>
  </si>
  <si>
    <t>|       |       |       |       └H082701-25</t>
  </si>
  <si>
    <t>|       |       |       |       └H082701-27</t>
  </si>
  <si>
    <t>|       |       |       |       └H082701-29</t>
  </si>
  <si>
    <t>|       |       |       |       └H082701-31</t>
  </si>
  <si>
    <t>|       |       |       |       └H082701-33</t>
  </si>
  <si>
    <t>|       |       |       |       └H082701-9</t>
  </si>
  <si>
    <t>|       |       |       |       └MS21042-3</t>
  </si>
  <si>
    <t>|       |       |       |       └MS21083N3</t>
  </si>
  <si>
    <t>|       |       |       |       └MS24693-C274</t>
  </si>
  <si>
    <t>|       |       |       |       └MS35207-264</t>
  </si>
  <si>
    <t>|       |       |       |       └MS35338-43</t>
  </si>
  <si>
    <t>|       |       |       |       └NAS514P1032-7</t>
  </si>
  <si>
    <t>|       |       |       |       └NAS8303-3</t>
  </si>
  <si>
    <t>|       |       |       └M83536/10-024L</t>
  </si>
  <si>
    <t>|       |       |       └M83536/16-022L</t>
  </si>
  <si>
    <t>|       |       |       └MS21042L04</t>
  </si>
  <si>
    <t>|       |       |       └MS51958-62</t>
  </si>
  <si>
    <t>|       |       |       └NAS600-7P</t>
  </si>
  <si>
    <t>|       |       |       └NAS620-4</t>
  </si>
  <si>
    <t>|       |       |       └NAS8302-3</t>
  </si>
  <si>
    <t>|       |       |       └NAS8303-10</t>
  </si>
  <si>
    <t>|       |       |       └NAS8303-3</t>
  </si>
  <si>
    <t>|       |       |       └NAS8303-4</t>
  </si>
  <si>
    <t>|       |       |       └NAS8303-5</t>
  </si>
  <si>
    <t>|       |       |       └NSA5527-03-03</t>
  </si>
  <si>
    <t>|       |       └-H084006AAA507</t>
  </si>
  <si>
    <t>|       |       |       └H021137-504</t>
  </si>
  <si>
    <t>|       |       |       |       └170-41523-001</t>
  </si>
  <si>
    <t>|       |       |       |       └H021137-4</t>
  </si>
  <si>
    <t>|       |       |       |       └MS21042-08</t>
  </si>
  <si>
    <t>|       |       |       |       └NAS1202-28</t>
  </si>
  <si>
    <t>|       |       |       └H061294-501</t>
  </si>
  <si>
    <t>|       |       |       |       └H062110-1</t>
  </si>
  <si>
    <t>|       |       |       |       └MS20426A3-4</t>
  </si>
  <si>
    <t>|       |       |       |       └MS21075L3N</t>
  </si>
  <si>
    <t>|       |       |       └H081105-9</t>
  </si>
  <si>
    <t>|       |       |       └H081162-5</t>
  </si>
  <si>
    <t>|       |       |       └H081270-501</t>
  </si>
  <si>
    <t>|       |       |       |       └H081105-3</t>
  </si>
  <si>
    <t>|       |       |       └-H081271EAAC505</t>
  </si>
  <si>
    <t>|       |       |       |       └1012</t>
  </si>
  <si>
    <t>|       |       |       |       └H081057-1</t>
  </si>
  <si>
    <t>|       |       |       |       └H081062-1</t>
  </si>
  <si>
    <t>|       |       |       |       └H081104-6</t>
  </si>
  <si>
    <t>|       |       |       |       └H081105-9</t>
  </si>
  <si>
    <t>|       |       |       |       └H081264-503</t>
  </si>
  <si>
    <t>|       |       |       |       |       └CCR264CS-3-01</t>
  </si>
  <si>
    <t>|       |       |       |       |       └H081103-5</t>
  </si>
  <si>
    <t>|       |       |       |       |       └H081103-7</t>
  </si>
  <si>
    <t>|       |       |       |       |       └H081201-507</t>
  </si>
  <si>
    <t>|       |       |       |       |       |       └H081103-9</t>
  </si>
  <si>
    <t>|       |       |       |       |       |       └H081104-3</t>
  </si>
  <si>
    <t>|       |       |       |       |       |       └MS20253-2-0252</t>
  </si>
  <si>
    <t>|       |       |       |       |       |       └MS21318-14</t>
  </si>
  <si>
    <t>|       |       |       |       |       └H081509-503</t>
  </si>
  <si>
    <t>|       |       |       |       |       |       └CDSP1501-3</t>
  </si>
  <si>
    <t>|       |       |       |       |       |       └H081102-11</t>
  </si>
  <si>
    <t>|       |       |       |       |       |       └H081103-3</t>
  </si>
  <si>
    <t>|       |       |       |       └H081274-503</t>
  </si>
  <si>
    <t>|       |       |       |       |       └H081105-23</t>
  </si>
  <si>
    <t>|       |       |       |       |       └H081131-11</t>
  </si>
  <si>
    <t>|       |       |       |       |       └H081131-25</t>
  </si>
  <si>
    <t>|       |       |       |       |       └MS20253P2-200</t>
  </si>
  <si>
    <t>|       |       |       |       |       └MS20426AD3-4</t>
  </si>
  <si>
    <t>|       |       |       |       └H084024-501</t>
  </si>
  <si>
    <t>|       |       |       |       |       └H081065-503</t>
  </si>
  <si>
    <t>|       |       |       |       |       |       └CDSP5905-06-06</t>
  </si>
  <si>
    <t>|       |       |       |       |       |       └CDSP5905-08-06</t>
  </si>
  <si>
    <t>|       |       |       |       |       |       └H081065-3</t>
  </si>
  <si>
    <t>|       |       |       |       |       └H081067-501</t>
  </si>
  <si>
    <t>|       |       |       |       |       |       └H081067-1</t>
  </si>
  <si>
    <t>|       |       |       |       └MS35206-226</t>
  </si>
  <si>
    <t>|       |       |       |       └MS35206-242</t>
  </si>
  <si>
    <t>|       |       |       |       └NAS1149FN632P</t>
  </si>
  <si>
    <t>|       |       |       |       └NAS1149FN832P</t>
  </si>
  <si>
    <t>|       |       |       |       └NAS514P632-3</t>
  </si>
  <si>
    <t>|       |       |       |       └NAS514P632-4P</t>
  </si>
  <si>
    <t>|       |       |       └H081295-501</t>
  </si>
  <si>
    <t>|       |       |       |       └H081109-7</t>
  </si>
  <si>
    <t>|       |       |       |       └MS21076L04</t>
  </si>
  <si>
    <t>|       |       |       └-H084014EAAC503</t>
  </si>
  <si>
    <t>|       |       |       |       └H081063-505</t>
  </si>
  <si>
    <t>|       |       |       |       |       └H081063-5</t>
  </si>
  <si>
    <t>|       |       |       |       └H081066-503</t>
  </si>
  <si>
    <t>|       |       |       |       |       └CDSP5905-3-06</t>
  </si>
  <si>
    <t>|       |       |       |       |       └H081066-3</t>
  </si>
  <si>
    <t>|       |       |       |       └H081068-503</t>
  </si>
  <si>
    <t>|       |       |       |       |       └H081068-3</t>
  </si>
  <si>
    <t>|       |       |       |       └H081161-517</t>
  </si>
  <si>
    <t>|       |       |       |       |       └CDIN07-08-07</t>
  </si>
  <si>
    <t>|       |       |       |       |       └H081161-17</t>
  </si>
  <si>
    <t>|       |       |       |       └H081161-519</t>
  </si>
  <si>
    <t>|       |       |       |       |       └H081161-19</t>
  </si>
  <si>
    <t>|       |       |       |       └H081191-1</t>
  </si>
  <si>
    <t>|       |       |       └MS35206-241</t>
  </si>
  <si>
    <t>|       |       |       └MS35207-265</t>
  </si>
  <si>
    <t>|       |       |       └NAS1149FN416P</t>
  </si>
  <si>
    <t>|       |       |       └NAS514P1032-11</t>
  </si>
  <si>
    <t>|       |       |       └NAS600-14P</t>
  </si>
  <si>
    <t>|       |       └H084007-505</t>
  </si>
  <si>
    <t>|       |       |       └AD32BS</t>
  </si>
  <si>
    <t>|       |       |       └CDPL160-13</t>
  </si>
  <si>
    <t>|       |       |       └H021137-503</t>
  </si>
  <si>
    <t>|       |       |       |       └H021137-3</t>
  </si>
  <si>
    <t>|       |       |       └H061115-1</t>
  </si>
  <si>
    <t>|       |       |       └H061209-509</t>
  </si>
  <si>
    <t>|       |       |       |       └H061107-3</t>
  </si>
  <si>
    <t>|       |       |       |       └H061175-9</t>
  </si>
  <si>
    <t>|       |       |       └H061261-501</t>
  </si>
  <si>
    <t>|       |       |       |       └H061254-501</t>
  </si>
  <si>
    <t>|       |       |       |       |       └6035-2BR185</t>
  </si>
  <si>
    <t>|       |       |       |       |       └H065172-1</t>
  </si>
  <si>
    <t>|       |       |       |       └H065173-1</t>
  </si>
  <si>
    <t>|       |       |       |       └MS51958-67</t>
  </si>
  <si>
    <t>|       |       |       |       └NAS1351C08-8P</t>
  </si>
  <si>
    <t>|       |       |       └H081076-501</t>
  </si>
  <si>
    <t>|       |       |       |       └H081111-7</t>
  </si>
  <si>
    <t>|       |       |       └H081112-1</t>
  </si>
  <si>
    <t>|       |       |       └H081157-1</t>
  </si>
  <si>
    <t>|       |       |       └H081202-507</t>
  </si>
  <si>
    <t>|       |       |       |       └CDSP6400-501</t>
  </si>
  <si>
    <t>|       |       |       |       |       └CDSP6400-1</t>
  </si>
  <si>
    <t>|       |       |       |       |       └CDSP6400-3</t>
  </si>
  <si>
    <t>|       |       |       |       |       └CDSP6400-5</t>
  </si>
  <si>
    <t>|       |       |       |       └H081113-9</t>
  </si>
  <si>
    <t>|       |       |       |       └MS20470AD4-5</t>
  </si>
  <si>
    <t>|       |       |       └H081507-503</t>
  </si>
  <si>
    <t>|       |       |       |       └CDSP5801-1AL</t>
  </si>
  <si>
    <t>|       |       |       |       └H083101-3</t>
  </si>
  <si>
    <t>|       |       |       |       └MS21075L06</t>
  </si>
  <si>
    <t>|       |       |       |       └MS24693-C26</t>
  </si>
  <si>
    <t>|       |       |       └H082015-1</t>
  </si>
  <si>
    <t>|       |       |       └H082116-5</t>
  </si>
  <si>
    <t>|       |       |       └H141131-507</t>
  </si>
  <si>
    <t>|       |       |       |       └H141131-7</t>
  </si>
  <si>
    <t>|       |       |       |       └MS21075-3N</t>
  </si>
  <si>
    <t>|       |       |       └H141201-501</t>
  </si>
  <si>
    <t>|       |       |       |       └H141134-501</t>
  </si>
  <si>
    <t>|       |       |       |       |       └H141134-1</t>
  </si>
  <si>
    <t>|       |       |       |       |       └MS20426AD3-9</t>
  </si>
  <si>
    <t>|       |       |       |       |       └MS21047L08</t>
  </si>
  <si>
    <t>|       |       |       |       └H141135-501</t>
  </si>
  <si>
    <t>|       |       |       |       |       └H141135-1</t>
  </si>
  <si>
    <t>|       |       |       |       └NAS1149GN832P</t>
  </si>
  <si>
    <t>|       |       |       |       └NAS602-10</t>
  </si>
  <si>
    <t>|       |       |       └H601174-3</t>
  </si>
  <si>
    <t>|       |       |       └MS35206-228</t>
  </si>
  <si>
    <t>|       |       |       └MS51958-59</t>
  </si>
  <si>
    <t>|       |       |       └NAS1149CN816R</t>
  </si>
  <si>
    <t>|       |       └H084009-505</t>
  </si>
  <si>
    <t>|       |       |       └94975A326</t>
  </si>
  <si>
    <t>|       |       |       └H082122-3</t>
  </si>
  <si>
    <t>|       |       |       └H085009-13</t>
  </si>
  <si>
    <t>|       |       |       └H641242-505</t>
  </si>
  <si>
    <t>|       |       |       |       └NAS1801-3-6</t>
  </si>
  <si>
    <t>|       └-H084008AAB507</t>
  </si>
  <si>
    <t>|       |       └H081157-7</t>
  </si>
  <si>
    <t>|       |       └-H081202AAC527</t>
  </si>
  <si>
    <t>|       |       |       └CDSP3313-6</t>
  </si>
  <si>
    <t>|       |       |       └CDSP3839-3</t>
  </si>
  <si>
    <t>|       |       |       └CDSP3903-3</t>
  </si>
  <si>
    <t>|       |       |       └CDSP5601-45</t>
  </si>
  <si>
    <t>|       |       |       └CDSP5801-2AL</t>
  </si>
  <si>
    <t>|       |       |       └CDSP6504A24-1865</t>
  </si>
  <si>
    <t>|       |       |       └CDSP6504A24-6877</t>
  </si>
  <si>
    <t>|       |       |       └CDSP6504A32-1865</t>
  </si>
  <si>
    <t>|       |       |       └H081035-509</t>
  </si>
  <si>
    <t>|       |       |       |       └H081035-609</t>
  </si>
  <si>
    <t>|       |       |       |       |       └CDSP5906-08-750</t>
  </si>
  <si>
    <t>|       |       |       |       |       └H081035-9</t>
  </si>
  <si>
    <t>|       |       |       |       └H081157-15</t>
  </si>
  <si>
    <t>|       |       |       |       └H081272-501</t>
  </si>
  <si>
    <t>|       |       |       |       |       └H081261-501</t>
  </si>
  <si>
    <t>|       |       |       |       |       |       └H081261-1</t>
  </si>
  <si>
    <t>|       |       |       |       |       |       └MS21209F1-10</t>
  </si>
  <si>
    <t>|       |       |       |       |       └H082009-13</t>
  </si>
  <si>
    <t>|       |       |       |       |       └MS20426AD3-7</t>
  </si>
  <si>
    <t>|       |       |       └H081107-11</t>
  </si>
  <si>
    <t>|       |       |       └H081154-1</t>
  </si>
  <si>
    <t>|       |       |       └H081162-13</t>
  </si>
  <si>
    <t>|       |       |       └H081171-15</t>
  </si>
  <si>
    <t>|       |       |       └H081280-503</t>
  </si>
  <si>
    <t>|       |       |       |       └6035L-06BR250</t>
  </si>
  <si>
    <t>|       |       |       |       └H081162-11</t>
  </si>
  <si>
    <t>|       |       |       └H083009-15</t>
  </si>
  <si>
    <t>|       |       |       └H083009-19</t>
  </si>
  <si>
    <t>|       |       |       └H084009-17</t>
  </si>
  <si>
    <t>|       |       |       └H086009-17</t>
  </si>
  <si>
    <t>|       |       |       └H087009-21</t>
  </si>
  <si>
    <t>|       |       |       └H087009-25</t>
  </si>
  <si>
    <t>|       |       |       └H087009-27</t>
  </si>
  <si>
    <t>|       |       |       └MS20253P2-6768</t>
  </si>
  <si>
    <t>|       |       |       └MS21318-15</t>
  </si>
  <si>
    <t>|       |       |       └MS51957-26</t>
  </si>
  <si>
    <t>|       |       |       └NAS514P1032-5</t>
  </si>
  <si>
    <t>|       |       |       └NAS514P832-4</t>
  </si>
  <si>
    <t>|       |       |       └NAS514P832-5</t>
  </si>
  <si>
    <t>|       |       |       └NAS514P832-7</t>
  </si>
  <si>
    <t>└CDSP2213-1</t>
  </si>
  <si>
    <t>└H011238-5</t>
  </si>
  <si>
    <t>└H061138-7</t>
  </si>
  <si>
    <t>└H061150-1</t>
  </si>
  <si>
    <t>└H061202-515</t>
  </si>
  <si>
    <t>|       └H081142-1</t>
  </si>
  <si>
    <t>|       └SJ-5382</t>
  </si>
  <si>
    <t>└H061311-1</t>
  </si>
  <si>
    <t>└-H081027AAC511</t>
  </si>
  <si>
    <t>|       └503634-0</t>
  </si>
  <si>
    <t>|       └H061126-1</t>
  </si>
  <si>
    <t>|       └H061208-505</t>
  </si>
  <si>
    <t>|       |       └H061181-3</t>
  </si>
  <si>
    <t>|       |       └H061193-1</t>
  </si>
  <si>
    <t>|       └H062163-1</t>
  </si>
  <si>
    <t>|       └H081027-611</t>
  </si>
  <si>
    <t>|       |       └CDSP5903C6-250</t>
  </si>
  <si>
    <t>|       |       └CDSP5905-08-06</t>
  </si>
  <si>
    <t>|       |       └CDSP5905C3-07</t>
  </si>
  <si>
    <t>|       |       └H081027-11</t>
  </si>
  <si>
    <t>|       └H081111-3</t>
  </si>
  <si>
    <t>|       └H081119-7</t>
  </si>
  <si>
    <t>|       └H081124-1</t>
  </si>
  <si>
    <t>|       └H081144-3</t>
  </si>
  <si>
    <t>|       └H081156-3</t>
  </si>
  <si>
    <t>|       └H081305-501</t>
  </si>
  <si>
    <t>|       |       └A081112-503</t>
  </si>
  <si>
    <t>|       |       └H085190-1</t>
  </si>
  <si>
    <t>|       |       └NAS1149FN432P</t>
  </si>
  <si>
    <t>|       |       └NAS1398B4-2</t>
  </si>
  <si>
    <t>|       |       └S124682-5S-14-3</t>
  </si>
  <si>
    <t>|       └H082010-501</t>
  </si>
  <si>
    <t>|       |       └CDSP5501-034</t>
  </si>
  <si>
    <t>|       |       └H081178-1</t>
  </si>
  <si>
    <t>|       |       └H081208-501</t>
  </si>
  <si>
    <t>|       |       |       └H081179-1</t>
  </si>
  <si>
    <t>|       |       |       └H081215-501</t>
  </si>
  <si>
    <t>|       |       |       |       └H081148-1</t>
  </si>
  <si>
    <t>|       |       |       |       └H081149-1</t>
  </si>
  <si>
    <t>|       |       └MS35206-240</t>
  </si>
  <si>
    <t>|       |       └MS35206-246</t>
  </si>
  <si>
    <t>|       |       └MS35842-10</t>
  </si>
  <si>
    <t>|       |       └NAS1149FN832P</t>
  </si>
  <si>
    <t>|       |       └NAS1374A02SA129</t>
  </si>
  <si>
    <t>|       |       └NMC1005-3</t>
  </si>
  <si>
    <t>|       |       └NSA935401-03</t>
  </si>
  <si>
    <t>|       └H082108-1</t>
  </si>
  <si>
    <t>|       └H086009-19</t>
  </si>
  <si>
    <t>|       └MS51958-41</t>
  </si>
  <si>
    <t>|       └MS51958-58</t>
  </si>
  <si>
    <t>|       └MS51958-59</t>
  </si>
  <si>
    <t>|       └NAS1149C0332R</t>
  </si>
  <si>
    <t>└H081036-505</t>
  </si>
  <si>
    <t>|       └AVL404-1</t>
  </si>
  <si>
    <t>|       └H021135-1</t>
  </si>
  <si>
    <t>|       └H061209-507</t>
  </si>
  <si>
    <t>|       |       └CDIN24</t>
  </si>
  <si>
    <t>|       |       └H061209-7</t>
  </si>
  <si>
    <t>|       └H061316-1</t>
  </si>
  <si>
    <t>|       └H081036-601</t>
  </si>
  <si>
    <t>|       |       └CDSP5905-3-06</t>
  </si>
  <si>
    <t>|       |       └H081036-1</t>
  </si>
  <si>
    <t>|       └H082163-3</t>
  </si>
  <si>
    <t>|       └MS35207-259</t>
  </si>
  <si>
    <t>|       └NAS1149F0332P</t>
  </si>
  <si>
    <t>└-H081040AAA503</t>
  </si>
  <si>
    <t>|       └CDSP1047-1</t>
  </si>
  <si>
    <t>|       └H061169-9</t>
  </si>
  <si>
    <t>|       └H061317-1</t>
  </si>
  <si>
    <t>|       └H062106-1</t>
  </si>
  <si>
    <t>|       └H081009-7</t>
  </si>
  <si>
    <t>|       └H081040-601</t>
  </si>
  <si>
    <t>|       |       └CDSP5905-08-13</t>
  </si>
  <si>
    <t>|       |       └H081040-1</t>
  </si>
  <si>
    <t>|       └H081166-5</t>
  </si>
  <si>
    <t>|       └H082009-23</t>
  </si>
  <si>
    <t>|       └H084009-3</t>
  </si>
  <si>
    <t>|       └H084009-5</t>
  </si>
  <si>
    <t>|       └MS20253P2-2251</t>
  </si>
  <si>
    <t>|       └MS21318-14</t>
  </si>
  <si>
    <t>└H081042-501</t>
  </si>
  <si>
    <t>|       └CDSP5904-3-250</t>
  </si>
  <si>
    <t>|       └H081042-1</t>
  </si>
  <si>
    <t>└-H081047EAAC501</t>
  </si>
  <si>
    <t>|       └9014084-3</t>
  </si>
  <si>
    <t>|       └9158109-501</t>
  </si>
  <si>
    <t>|       |       └9158109-1</t>
  </si>
  <si>
    <t>|       |       └9158109-601</t>
  </si>
  <si>
    <t>|       |       |       └6035-04BR135</t>
  </si>
  <si>
    <t>|       |       |       └9158109-3</t>
  </si>
  <si>
    <t>|       |       └DST3881</t>
  </si>
  <si>
    <t>|       |       └MS9486-19</t>
  </si>
  <si>
    <t>|       └9341316-5</t>
  </si>
  <si>
    <t>|       └CDEL1029-3</t>
  </si>
  <si>
    <t>|       └CDPL136-J53006</t>
  </si>
  <si>
    <t>|       └CDPL136-P53007</t>
  </si>
  <si>
    <t>|       └H081047-601</t>
  </si>
  <si>
    <t>|       |       └CDSP5905-3-13</t>
  </si>
  <si>
    <t>|       |       └H081047-1</t>
  </si>
  <si>
    <t>|       └H081120-1</t>
  </si>
  <si>
    <t>|       └H081167-9</t>
  </si>
  <si>
    <t>|       └H081168-3</t>
  </si>
  <si>
    <t>|       └H081168-5</t>
  </si>
  <si>
    <t>|       └H081168-7</t>
  </si>
  <si>
    <t>|       └H082102-3</t>
  </si>
  <si>
    <t>|       └MS35206-212</t>
  </si>
  <si>
    <t>|       └MS35207-261</t>
  </si>
  <si>
    <t>|       └NAS1149FN432P</t>
  </si>
  <si>
    <t>└-H081048AAC505</t>
  </si>
  <si>
    <t>|       └H081048-605</t>
  </si>
  <si>
    <t>|       |       └CDSP5905C08-07</t>
  </si>
  <si>
    <t>|       |       └H081048-5</t>
  </si>
  <si>
    <t>|       └H081108-1</t>
  </si>
  <si>
    <t>|       └H081131-27</t>
  </si>
  <si>
    <t>|       └H081242-501</t>
  </si>
  <si>
    <t>|       |       └458-4-2693</t>
  </si>
  <si>
    <t>|       |       └H061135-1</t>
  </si>
  <si>
    <t>|       |       └H061178-1</t>
  </si>
  <si>
    <t>|       |       └H081130-1</t>
  </si>
  <si>
    <t>|       |       └H081139-1</t>
  </si>
  <si>
    <t>|       |       └H081313-1</t>
  </si>
  <si>
    <t>|       |       └MS20253P2-430</t>
  </si>
  <si>
    <t>|       |       └MS21318-15</t>
  </si>
  <si>
    <t>|       └H082129-15</t>
  </si>
  <si>
    <t>|       └H082169-1</t>
  </si>
  <si>
    <t>|       └H085009-5</t>
  </si>
  <si>
    <t>|       └H085009-7</t>
  </si>
  <si>
    <t>|       └H086009-5</t>
  </si>
  <si>
    <t>|       └H087009-23</t>
  </si>
  <si>
    <t>|       └MS51957-40</t>
  </si>
  <si>
    <t>|       └MS51957-41</t>
  </si>
  <si>
    <t>|       └MS51957-42</t>
  </si>
  <si>
    <t>|       └NAS1149CN832R</t>
  </si>
  <si>
    <t>└H081205-501</t>
  </si>
  <si>
    <t>|       └820-000207-12C5</t>
  </si>
  <si>
    <t>|       |       └820-000207-12C5-1</t>
  </si>
  <si>
    <t>|       |       └D369-P33-NP1</t>
  </si>
  <si>
    <t>└H081205-503</t>
  </si>
  <si>
    <t>|       └820-000207-19C5</t>
  </si>
  <si>
    <t>|       |       └820-000207-19C5-1</t>
  </si>
  <si>
    <t>└H081206-501</t>
  </si>
  <si>
    <t>|       └CDPL136-GS53022</t>
  </si>
  <si>
    <t>|       └H081141-3</t>
  </si>
  <si>
    <t>|       └H081145-1</t>
  </si>
  <si>
    <t>└H081302-513</t>
  </si>
  <si>
    <t>|       └CDEX1677J2763</t>
  </si>
  <si>
    <t>|       └H061159-7</t>
  </si>
  <si>
    <t>|       └H061165-11</t>
  </si>
  <si>
    <t>|       └H061166-11</t>
  </si>
  <si>
    <t>|       └H061321-7</t>
  </si>
  <si>
    <t>|       └H061802-505</t>
  </si>
  <si>
    <t>|       |       └H081244-505</t>
  </si>
  <si>
    <t>|       |       |       └CDEX0999F4045</t>
  </si>
  <si>
    <t>|       |       |       └CDSP4903B503</t>
  </si>
  <si>
    <t>|       |       |       └D751180-3</t>
  </si>
  <si>
    <t>|       |       |       └H081307-5</t>
  </si>
  <si>
    <t>|       |       └H081246-505</t>
  </si>
  <si>
    <t>|       |       |       └H081161-15</t>
  </si>
  <si>
    <t>|       |       |       └H081163-1</t>
  </si>
  <si>
    <t>|       |       |       └H081317-1</t>
  </si>
  <si>
    <t>|       └H062161-1</t>
  </si>
  <si>
    <t>|       └H062161-3</t>
  </si>
  <si>
    <t>|       └H062161-5</t>
  </si>
  <si>
    <t>|       └H062161-7</t>
  </si>
  <si>
    <t>|       └H081293-511</t>
  </si>
  <si>
    <t>|       |       └H061102-13</t>
  </si>
  <si>
    <t>|       |       └H061107-1</t>
  </si>
  <si>
    <t>|       |       └H061169-11</t>
  </si>
  <si>
    <t>|       |       └H061169-13</t>
  </si>
  <si>
    <t>|       |       └H061170-3</t>
  </si>
  <si>
    <t>|       |       └H061170-4</t>
  </si>
  <si>
    <t>|       |       └H062162-1</t>
  </si>
  <si>
    <t>|       |       └H062165-1</t>
  </si>
  <si>
    <t>|       |       └H062166-1</t>
  </si>
  <si>
    <t>|       |       └H081175-507</t>
  </si>
  <si>
    <t>|       |       |       └CDSP5905-08-06</t>
  </si>
  <si>
    <t>|       |       |       └H081175-11</t>
  </si>
  <si>
    <t>|       |       └H600130-1</t>
  </si>
  <si>
    <t>|       └MS35206-241</t>
  </si>
  <si>
    <t>|       └NAS1149FN832P</t>
  </si>
  <si>
    <t>└-H081402EAAG505</t>
  </si>
  <si>
    <t>|       └H081037-503</t>
  </si>
  <si>
    <t>|       |       └H061126-3</t>
  </si>
  <si>
    <t>|       |       └H081037-603</t>
  </si>
  <si>
    <t>|       |       |       └CDSP5905-3-06</t>
  </si>
  <si>
    <t>|       |       |       └H081037-3</t>
  </si>
  <si>
    <t>|       |       └H602102-1</t>
  </si>
  <si>
    <t>|       |       └MS35207-258</t>
  </si>
  <si>
    <t>|       └H081112-13</t>
  </si>
  <si>
    <t>|       └H081304-501</t>
  </si>
  <si>
    <t>|       |       └H082009-1</t>
  </si>
  <si>
    <t>|       |       └H083009-1</t>
  </si>
  <si>
    <t>|       |       └MS20253P2-200</t>
  </si>
  <si>
    <t>|       |       └MS21318-13</t>
  </si>
  <si>
    <t>|       └H085004-501</t>
  </si>
  <si>
    <t>|       |       └H061052-1</t>
  </si>
  <si>
    <t>|       |       └H061091-1</t>
  </si>
  <si>
    <t>|       |       └H081038-501</t>
  </si>
  <si>
    <t>|       |       |       └CDIN23-08A</t>
  </si>
  <si>
    <t>|       |       |       └H081038-1</t>
  </si>
  <si>
    <t>|       └MS35206-213</t>
  </si>
  <si>
    <t>|       └MS35207-258</t>
  </si>
  <si>
    <t>└-H082014EAFA505</t>
  </si>
  <si>
    <t>|       └H082014-11</t>
  </si>
  <si>
    <t>|       └H082014-13</t>
  </si>
  <si>
    <t>|       └H082014-15</t>
  </si>
  <si>
    <t>|       └H082014-603</t>
  </si>
  <si>
    <t>|       |       └CDIN07D3-07</t>
  </si>
  <si>
    <t>|       |       └CDSP5904-3-250</t>
  </si>
  <si>
    <t>|       |       └H082014-3</t>
  </si>
  <si>
    <t>|       └H082204-501</t>
  </si>
  <si>
    <t>|       |       └CDSP5801-2AL</t>
  </si>
  <si>
    <t>|       |       └H081110-5</t>
  </si>
  <si>
    <t>|       |       └H081135-3</t>
  </si>
  <si>
    <t>|       |       └MS20426AD3-3-5</t>
  </si>
  <si>
    <t>|       |       └MS21075L08N</t>
  </si>
  <si>
    <t>|       |       └NAS514P832-9P</t>
  </si>
  <si>
    <t>|       └H082204-505</t>
  </si>
  <si>
    <t>|       |       └H081110-11</t>
  </si>
  <si>
    <t>└H082162-1</t>
  </si>
  <si>
    <t>└H082218-505</t>
  </si>
  <si>
    <t>|       └1005-042-001</t>
  </si>
  <si>
    <t>|       |       └1005-042-001</t>
  </si>
  <si>
    <t>|       |       └SJS830200</t>
  </si>
  <si>
    <t>|       └H062108-3</t>
  </si>
  <si>
    <t>|       └H082102-7</t>
  </si>
  <si>
    <t>|       └H082126-1</t>
  </si>
  <si>
    <t>|       └H082127-1</t>
  </si>
  <si>
    <t>|       └H082165-1</t>
  </si>
  <si>
    <t>|       └H082219-503</t>
  </si>
  <si>
    <t>|       |       └CDSP5905-3-07</t>
  </si>
  <si>
    <t>|       |       └H082219-3</t>
  </si>
  <si>
    <t>|       └NAS8303-4</t>
  </si>
  <si>
    <t>|       └SJS445000</t>
  </si>
  <si>
    <t>└-H082505AAA501</t>
  </si>
  <si>
    <t>|       └AR9419-3D74</t>
  </si>
  <si>
    <t>|       └H061136-1</t>
  </si>
  <si>
    <t>|       └H061227-503</t>
  </si>
  <si>
    <t>|       |       └H061121-3</t>
  </si>
  <si>
    <t>|       |       └MS20426A3-3</t>
  </si>
  <si>
    <t>|       |       └MS21073L08</t>
  </si>
  <si>
    <t>|       └H081119-505</t>
  </si>
  <si>
    <t>|       |       └503634-0</t>
  </si>
  <si>
    <t>|       |       └H081119-9</t>
  </si>
  <si>
    <t>|       └H081132-11</t>
  </si>
  <si>
    <t>|       └-H081306AAA517</t>
  </si>
  <si>
    <t>|       |       └CDSP5905-08-08</t>
  </si>
  <si>
    <t>|       |       └CDSP5905-3-10</t>
  </si>
  <si>
    <t>|       |       └H081110-9</t>
  </si>
  <si>
    <t>|       |       └-H081305EAJC3</t>
  </si>
  <si>
    <t>|       |       └MS51958-62</t>
  </si>
  <si>
    <t>|       └H082129-1</t>
  </si>
  <si>
    <t>|       └H082168-5</t>
  </si>
  <si>
    <t>|       └MS21042-3</t>
  </si>
  <si>
    <t>|       └MS51958-60</t>
  </si>
  <si>
    <t>|       └NAS1149C0316R</t>
  </si>
  <si>
    <t>|       └NAS514P1032-15B</t>
  </si>
  <si>
    <t>|       └NAS514P1032-8</t>
  </si>
  <si>
    <t>└-H089002AAK513</t>
  </si>
  <si>
    <t>|       └H061159-3</t>
  </si>
  <si>
    <t>|       └H061159-5</t>
  </si>
  <si>
    <t>|       └H081167-17</t>
  </si>
  <si>
    <t>|       └H081167-19</t>
  </si>
  <si>
    <t>|       └-H081189EABY1</t>
  </si>
  <si>
    <t>|       └H081247-511</t>
  </si>
  <si>
    <t>|       |       └H081127-3</t>
  </si>
  <si>
    <t>|       |       └H081188-11</t>
  </si>
  <si>
    <t>|       └H082166-1</t>
  </si>
  <si>
    <t>|       └H082189-1</t>
  </si>
  <si>
    <t>|       └H082190-1</t>
  </si>
  <si>
    <t>|       └NAS1398B4-3</t>
  </si>
  <si>
    <t>└-H328126AAA593</t>
  </si>
  <si>
    <t>|       └CDSP9204-013</t>
  </si>
  <si>
    <t>|       └H082173-5</t>
  </si>
  <si>
    <t>|       └-H328126EAFA93</t>
  </si>
  <si>
    <t>|       └-H328128AAA501</t>
  </si>
  <si>
    <t>|       |       └CDSP9204-013</t>
  </si>
  <si>
    <t>|       |       └CDSP9204-014</t>
  </si>
  <si>
    <t>|       |       └-H328128EAFA1</t>
  </si>
  <si>
    <t>|       └-H328128AAA503</t>
  </si>
  <si>
    <t>|       |       └-H328128EAFA3</t>
  </si>
  <si>
    <t>└MS35206-242</t>
  </si>
  <si>
    <t>└MS35207-261</t>
  </si>
  <si>
    <t>└MS35207-263</t>
  </si>
  <si>
    <t>└MS35207-265</t>
  </si>
  <si>
    <t>└MS35338-138</t>
  </si>
  <si>
    <t>└MS51957-42</t>
  </si>
  <si>
    <t>└MS51958-41</t>
  </si>
  <si>
    <t>└MS51958-59</t>
  </si>
  <si>
    <t>└MS51958-60</t>
  </si>
  <si>
    <t>└MS51958-62</t>
  </si>
  <si>
    <t>└MS51958-63</t>
  </si>
  <si>
    <t>└NAS1149C0316R</t>
  </si>
  <si>
    <t>└NAS1149C0332R</t>
  </si>
  <si>
    <t>└NAS1149C2N32R</t>
  </si>
  <si>
    <t>└NAS1149CN832R</t>
  </si>
  <si>
    <t>└NAS1149F0332P</t>
  </si>
  <si>
    <t>└NAS1149FN832P</t>
  </si>
  <si>
    <t>└NAS1169DD6L</t>
  </si>
  <si>
    <t>└NAS1169DD8L</t>
  </si>
  <si>
    <t>└NAS514P1032-6</t>
  </si>
  <si>
    <t>└NAS514P1032-8B</t>
  </si>
  <si>
    <t>└NAS514P632-4</t>
  </si>
  <si>
    <t>└NAS514P632-7</t>
  </si>
  <si>
    <t>└NAS514P832-7</t>
  </si>
  <si>
    <t>└NAS517-3-1</t>
  </si>
  <si>
    <t>└NAS517-3-5</t>
  </si>
  <si>
    <t>└NAS603-10P</t>
  </si>
  <si>
    <t>└NAS8303-7</t>
  </si>
  <si>
    <t>Aline Nikaido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</si>
</sst>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dd\ mmm\ yy"/>
    <numFmt numFmtId="165" formatCode="dd/mmm//yyyy"/>
    <numFmt numFmtId="166" formatCode="dd\-mmm\-yyyy"/>
  </numFmts>
  <fonts count="21"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0"/>
      <color indexed="12"/>
      <name val="Arial"/>
      <family val="2"/>
    </font>
    <font>
      <sz val="10"/>
      <name val="Arial"/>
      <family val="2"/>
    </font>
    <font>
      <sz val="12"/>
      <color theme="1"/>
      <name val="Calibri"/>
      <family val="2"/>
      <scheme val="minor"/>
    </font>
    <font>
      <sz val="11"/>
      <color theme="1"/>
      <name val="Calibri"/>
      <family val="2"/>
      <scheme val="minor"/>
    </font>
    <font>
      <sz val="11"/>
      <color theme="1"/>
      <name val="Arial"/>
      <family val="2"/>
    </font>
    <font>
      <b/>
      <sz val="14"/>
      <color theme="1"/>
      <name val="Arial"/>
      <family val="2"/>
    </font>
    <font>
      <sz val="14"/>
      <color theme="1"/>
      <name val="Arial"/>
      <family val="2"/>
    </font>
    <font>
      <b/>
      <sz val="11"/>
      <color theme="1"/>
      <name val="Arial"/>
      <family val="2"/>
    </font>
    <font>
      <sz val="12"/>
      <color theme="1"/>
      <name val="Arial"/>
      <family val="2"/>
    </font>
    <font>
      <b/>
      <sz val="12"/>
      <color theme="1"/>
      <name val="Arial"/>
      <family val="2"/>
    </font>
    <font>
      <b/>
      <sz val="12"/>
      <color theme="1"/>
      <name val="Calibri"/>
      <family val="2"/>
      <scheme val="minor"/>
    </font>
    <font>
      <sz val="12"/>
      <color theme="0"/>
      <name val="Calibri"/>
      <family val="2"/>
      <scheme val="minor"/>
    </font>
    <font>
      <b/>
      <sz val="11"/>
      <color theme="0"/>
      <name val="Calibri"/>
      <family val="2"/>
      <scheme val="minor"/>
    </font>
    <font>
      <sz val="12"/>
      <name val="Calibri"/>
      <family val="2"/>
      <scheme val="minor"/>
    </font>
  </fonts>
  <fills count="5">
    <fill>
      <patternFill patternType="none"/>
    </fill>
    <fill>
      <patternFill patternType="gray125"/>
    </fill>
    <fill>
      <patternFill patternType="solid">
        <fgColor theme="3" tint="0.79998168889431442"/>
        <bgColor indexed="64"/>
      </patternFill>
    </fill>
    <fill>
      <patternFill patternType="solid">
        <fgColor theme="2" tint="-0.749992370372631"/>
        <bgColor indexed="64"/>
      </patternFill>
    </fill>
    <fill>
      <patternFill patternType="solid">
        <fgColor theme="2" tint="-0.74996185186315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bottom style="thick">
        <color theme="0"/>
      </bottom>
      <diagonal/>
    </border>
    <border>
      <left/>
      <right/>
      <top style="thin">
        <color theme="0" tint="-0.24994659260841701"/>
      </top>
      <bottom style="thin">
        <color theme="0" tint="-0.24994659260841701"/>
      </bottom>
      <diagonal/>
    </border>
    <border>
      <left/>
      <right/>
      <top style="thin">
        <color theme="0" tint="-0.24994659260841701"/>
      </top>
      <bottom/>
      <diagonal/>
    </border>
  </borders>
  <cellStyleXfs count="2431">
    <xf numFmtId="0" fontId="0" fillId="0" borderId="0"/>
    <xf numFmtId="0" fontId="7" fillId="0" borderId="0" applyNumberFormat="0" applyFill="0" applyBorder="0" applyAlignment="0" applyProtection="0">
      <alignment vertical="top"/>
      <protection locked="0"/>
    </xf>
    <xf numFmtId="0" fontId="7" fillId="0" borderId="0" applyNumberFormat="0" applyFill="0" applyBorder="0" applyAlignment="0" applyProtection="0">
      <alignment vertical="top"/>
      <protection locked="0"/>
    </xf>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8"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9"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8" fillId="0" borderId="0"/>
    <xf numFmtId="0" fontId="6" fillId="0" borderId="0"/>
    <xf numFmtId="0" fontId="6" fillId="0" borderId="0"/>
    <xf numFmtId="0" fontId="6" fillId="0" borderId="0"/>
    <xf numFmtId="0" fontId="6" fillId="0" borderId="0"/>
    <xf numFmtId="0" fontId="6" fillId="0" borderId="0"/>
    <xf numFmtId="0" fontId="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9" fillId="0" borderId="0"/>
    <xf numFmtId="0" fontId="9" fillId="0" borderId="0"/>
    <xf numFmtId="0" fontId="9" fillId="0" borderId="0"/>
    <xf numFmtId="0" fontId="9"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9"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4" fillId="0" borderId="0"/>
    <xf numFmtId="0" fontId="9"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9" fillId="0" borderId="0"/>
    <xf numFmtId="0" fontId="9" fillId="0" borderId="0"/>
    <xf numFmtId="0" fontId="4" fillId="0" borderId="0"/>
    <xf numFmtId="0" fontId="9" fillId="0" borderId="0"/>
    <xf numFmtId="0" fontId="9" fillId="0" borderId="0"/>
    <xf numFmtId="0" fontId="4" fillId="0" borderId="0"/>
    <xf numFmtId="0" fontId="9" fillId="0" borderId="0"/>
    <xf numFmtId="0" fontId="9"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3" fillId="0" borderId="0"/>
  </cellStyleXfs>
  <cellXfs count="64">
    <xf numFmtId="0" fontId="0" fillId="0" borderId="0" xfId="0"/>
    <xf numFmtId="0" fontId="11" fillId="0" borderId="0" xfId="0" applyFont="1"/>
    <xf numFmtId="0" fontId="12" fillId="0" borderId="0" xfId="0" applyFont="1"/>
    <xf numFmtId="0" fontId="13" fillId="0" borderId="0" xfId="0" applyFont="1"/>
    <xf numFmtId="0" fontId="13" fillId="0" borderId="0" xfId="0" applyFont="1" applyAlignment="1">
      <alignment horizontal="left"/>
    </xf>
    <xf numFmtId="0" fontId="11" fillId="0" borderId="0" xfId="0" applyFont="1" applyAlignment="1">
      <alignment horizontal="center"/>
    </xf>
    <xf numFmtId="0" fontId="14" fillId="0" borderId="0" xfId="0" applyFont="1"/>
    <xf numFmtId="0" fontId="14" fillId="0" borderId="1" xfId="0" applyFont="1" applyBorder="1" applyAlignment="1">
      <alignment horizontal="center"/>
    </xf>
    <xf numFmtId="0" fontId="11" fillId="0" borderId="1" xfId="0" applyFont="1" applyBorder="1" applyAlignment="1">
      <alignment horizontal="center"/>
    </xf>
    <xf numFmtId="0" fontId="14" fillId="0" borderId="0" xfId="0" applyFont="1" applyAlignment="1">
      <alignment horizontal="center"/>
    </xf>
    <xf numFmtId="164" fontId="11" fillId="0" borderId="0" xfId="0" applyNumberFormat="1" applyFont="1"/>
    <xf numFmtId="0" fontId="15" fillId="0" borderId="0" xfId="0" applyFont="1" applyAlignment="1">
      <alignment horizontal="left"/>
    </xf>
    <xf numFmtId="0" fontId="15" fillId="0" borderId="0" xfId="0" applyFont="1" applyAlignment="1">
      <alignment horizontal="center"/>
    </xf>
    <xf numFmtId="14" fontId="15" fillId="0" borderId="0" xfId="0" applyNumberFormat="1" applyFont="1" applyAlignment="1">
      <alignment horizontal="center"/>
    </xf>
    <xf numFmtId="0" fontId="15" fillId="0" borderId="2" xfId="0" applyFont="1" applyBorder="1" applyAlignment="1">
      <alignment horizontal="left"/>
    </xf>
    <xf numFmtId="0" fontId="12" fillId="0" borderId="0" xfId="0" applyFont="1" applyAlignment="1">
      <alignment horizontal="center"/>
    </xf>
    <xf numFmtId="0" fontId="16" fillId="0" borderId="1" xfId="0" applyFont="1" applyBorder="1" applyAlignment="1">
      <alignment horizontal="center"/>
    </xf>
    <xf numFmtId="0" fontId="0" fillId="0" borderId="0" xfId="0" applyAlignment="1">
      <alignment horizontal="center" vertical="top"/>
    </xf>
    <xf numFmtId="0" fontId="0" fillId="0" borderId="0" xfId="0" applyAlignment="1">
      <alignment horizontal="left" vertical="top"/>
    </xf>
    <xf numFmtId="0" fontId="0" fillId="0" borderId="0" xfId="0" applyAlignment="1">
      <alignment horizontal="center" vertical="top" wrapText="1"/>
    </xf>
    <xf numFmtId="0" fontId="9" fillId="0" borderId="0" xfId="0" applyFont="1" applyAlignment="1">
      <alignment horizontal="center" vertical="top"/>
    </xf>
    <xf numFmtId="0" fontId="9" fillId="0" borderId="0" xfId="0" applyFont="1" applyAlignment="1">
      <alignment horizontal="center"/>
    </xf>
    <xf numFmtId="0" fontId="9" fillId="0" borderId="0" xfId="0" applyFont="1"/>
    <xf numFmtId="0" fontId="9" fillId="0" borderId="0" xfId="0" applyFont="1" applyAlignment="1">
      <alignment horizontal="right"/>
    </xf>
    <xf numFmtId="0" fontId="17" fillId="2" borderId="0" xfId="0" applyFont="1" applyFill="1" applyAlignment="1">
      <alignment horizontal="center"/>
    </xf>
    <xf numFmtId="0" fontId="9" fillId="0" borderId="0" xfId="0" applyFont="1" applyAlignment="1">
      <alignment horizontal="center" wrapText="1"/>
    </xf>
    <xf numFmtId="0" fontId="9" fillId="0" borderId="0" xfId="0" applyFont="1" applyAlignment="1">
      <alignment horizontal="center" vertical="top" wrapText="1"/>
    </xf>
    <xf numFmtId="0" fontId="18" fillId="3" borderId="0" xfId="0" applyFont="1" applyFill="1" applyAlignment="1">
      <alignment horizontal="center" vertical="top"/>
    </xf>
    <xf numFmtId="0" fontId="18" fillId="3" borderId="0" xfId="0" applyFont="1" applyFill="1" applyAlignment="1">
      <alignment horizontal="center" vertical="top" wrapText="1"/>
    </xf>
    <xf numFmtId="0" fontId="18" fillId="3" borderId="0" xfId="0" applyFont="1" applyFill="1" applyAlignment="1">
      <alignment horizontal="center"/>
    </xf>
    <xf numFmtId="0" fontId="11" fillId="0" borderId="6" xfId="0" applyFont="1" applyBorder="1" applyAlignment="1">
      <alignment horizontal="center" vertical="center" wrapText="1"/>
    </xf>
    <xf numFmtId="0" fontId="11" fillId="0" borderId="5" xfId="0" applyFont="1" applyBorder="1" applyAlignment="1">
      <alignment vertical="center" wrapText="1"/>
    </xf>
    <xf numFmtId="165" fontId="11" fillId="0" borderId="7" xfId="0" applyNumberFormat="1" applyFont="1" applyBorder="1" applyAlignment="1">
      <alignment horizontal="center" vertical="center" wrapText="1"/>
    </xf>
    <xf numFmtId="0" fontId="14" fillId="0" borderId="8" xfId="0" applyFont="1" applyBorder="1" applyAlignment="1">
      <alignment horizontal="center"/>
    </xf>
    <xf numFmtId="0" fontId="14" fillId="0" borderId="9" xfId="0" applyFont="1" applyBorder="1" applyAlignment="1">
      <alignment horizontal="center"/>
    </xf>
    <xf numFmtId="0" fontId="11" fillId="0" borderId="10" xfId="0" applyFont="1" applyBorder="1" applyAlignment="1">
      <alignment horizontal="center"/>
    </xf>
    <xf numFmtId="0" fontId="11" fillId="0" borderId="11" xfId="0" applyFont="1" applyBorder="1" applyAlignment="1">
      <alignment horizontal="center"/>
    </xf>
    <xf numFmtId="0" fontId="3" fillId="0" borderId="0" xfId="2430"/>
    <xf numFmtId="166" fontId="11" fillId="0" borderId="6" xfId="0" applyNumberFormat="1" applyFont="1" applyBorder="1" applyAlignment="1">
      <alignment horizontal="center" vertical="center" wrapText="1"/>
    </xf>
    <xf numFmtId="166" fontId="15" fillId="0" borderId="1" xfId="0" applyNumberFormat="1" applyFont="1" applyBorder="1" applyAlignment="1">
      <alignment horizontal="center"/>
    </xf>
    <xf numFmtId="166" fontId="11" fillId="0" borderId="11" xfId="0" applyNumberFormat="1" applyFont="1" applyBorder="1" applyAlignment="1">
      <alignment horizontal="center"/>
    </xf>
    <xf numFmtId="0" fontId="19" fillId="4" borderId="12" xfId="2430" applyFont="1" applyFill="1" applyBorder="1"/>
    <xf numFmtId="0" fontId="2" fillId="0" borderId="13" xfId="2430" applyFont="1" applyBorder="1"/>
    <xf numFmtId="0" fontId="1" fillId="0" borderId="13" xfId="2430" applyFont="1" applyBorder="1"/>
    <xf numFmtId="0" fontId="1" fillId="0" borderId="14" xfId="2430" applyFont="1" applyBorder="1"/>
    <xf numFmtId="0" fontId="20" fillId="0" borderId="0" xfId="0" applyFont="1" applyAlignment="1">
      <alignment horizontal="center" vertical="top"/>
    </xf>
    <xf numFmtId="0" fontId="20" fillId="0" borderId="0" xfId="0" applyFont="1" applyAlignment="1">
      <alignment horizontal="center"/>
    </xf>
    <xf numFmtId="0" fontId="17" fillId="0" borderId="0" xfId="0" applyFont="1" applyAlignment="1">
      <alignment wrapText="1"/>
    </xf>
    <xf numFmtId="0" fontId="15" fillId="0" borderId="2" xfId="0" applyFont="1" applyBorder="1" applyAlignment="1">
      <alignment horizontal="center"/>
    </xf>
    <xf numFmtId="0" fontId="15" fillId="0" borderId="4" xfId="0" applyFont="1" applyBorder="1" applyAlignment="1">
      <alignment horizontal="center"/>
    </xf>
    <xf numFmtId="0" fontId="15" fillId="0" borderId="3" xfId="0" applyFont="1" applyBorder="1" applyAlignment="1">
      <alignment horizont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5" xfId="0" applyFont="1" applyBorder="1" applyAlignment="1">
      <alignment horizontal="center" vertical="center" wrapText="1"/>
    </xf>
    <xf numFmtId="0" fontId="11" fillId="0" borderId="6" xfId="0" applyFont="1" applyBorder="1" applyAlignment="1">
      <alignment horizontal="center" vertical="center" wrapText="1"/>
    </xf>
    <xf numFmtId="0" fontId="11" fillId="0" borderId="7" xfId="0" applyFont="1" applyBorder="1" applyAlignment="1">
      <alignment horizontal="center" vertical="center" wrapText="1"/>
    </xf>
    <xf numFmtId="0" fontId="13" fillId="0" borderId="0" xfId="0" applyFont="1" applyAlignment="1">
      <alignment horizontal="left"/>
    </xf>
    <xf numFmtId="0" fontId="16" fillId="0" borderId="2" xfId="0" applyFont="1" applyBorder="1" applyAlignment="1">
      <alignment horizontal="center"/>
    </xf>
    <xf numFmtId="0" fontId="16" fillId="0" borderId="4" xfId="0" applyFont="1" applyBorder="1" applyAlignment="1">
      <alignment horizontal="center"/>
    </xf>
    <xf numFmtId="0" fontId="16" fillId="0" borderId="3" xfId="0" applyFont="1" applyBorder="1" applyAlignment="1">
      <alignment horizontal="center"/>
    </xf>
    <xf numFmtId="0" fontId="12" fillId="0" borderId="0" xfId="0" applyFont="1" applyAlignment="1">
      <alignment horizontal="center"/>
    </xf>
    <xf numFmtId="0" fontId="14" fillId="0" borderId="1" xfId="0" applyFont="1" applyBorder="1" applyAlignment="1">
      <alignment horizontal="center"/>
    </xf>
    <xf numFmtId="164" fontId="11" fillId="0" borderId="1" xfId="0" applyNumberFormat="1" applyFont="1" applyBorder="1" applyAlignment="1">
      <alignment horizontal="center"/>
    </xf>
  </cellXfs>
  <cellStyles count="2431">
    <cellStyle name="Hyperlink 2" xfId="1" xr:uid="{00000000-0005-0000-0000-000000000000}"/>
    <cellStyle name="Hyperlink 2 2" xfId="2" xr:uid="{00000000-0005-0000-0000-000001000000}"/>
    <cellStyle name="Normal" xfId="0" builtinId="0"/>
    <cellStyle name="Normal 10" xfId="3" xr:uid="{00000000-0005-0000-0000-000003000000}"/>
    <cellStyle name="Normal 10 10" xfId="4" xr:uid="{00000000-0005-0000-0000-000004000000}"/>
    <cellStyle name="Normal 10 10 2" xfId="177" xr:uid="{00000000-0005-0000-0000-000005000000}"/>
    <cellStyle name="Normal 10 10 3" xfId="178" xr:uid="{00000000-0005-0000-0000-000006000000}"/>
    <cellStyle name="Normal 10 10 4" xfId="179" xr:uid="{00000000-0005-0000-0000-000007000000}"/>
    <cellStyle name="Normal 10 11" xfId="5" xr:uid="{00000000-0005-0000-0000-000008000000}"/>
    <cellStyle name="Normal 10 11 2" xfId="180" xr:uid="{00000000-0005-0000-0000-000009000000}"/>
    <cellStyle name="Normal 10 11 3" xfId="181" xr:uid="{00000000-0005-0000-0000-00000A000000}"/>
    <cellStyle name="Normal 10 11 4" xfId="182" xr:uid="{00000000-0005-0000-0000-00000B000000}"/>
    <cellStyle name="Normal 10 12" xfId="6" xr:uid="{00000000-0005-0000-0000-00000C000000}"/>
    <cellStyle name="Normal 10 12 2" xfId="183" xr:uid="{00000000-0005-0000-0000-00000D000000}"/>
    <cellStyle name="Normal 10 12 3" xfId="184" xr:uid="{00000000-0005-0000-0000-00000E000000}"/>
    <cellStyle name="Normal 10 12 4" xfId="185" xr:uid="{00000000-0005-0000-0000-00000F000000}"/>
    <cellStyle name="Normal 10 13" xfId="60" xr:uid="{00000000-0005-0000-0000-000010000000}"/>
    <cellStyle name="Normal 10 13 2" xfId="186" xr:uid="{00000000-0005-0000-0000-000011000000}"/>
    <cellStyle name="Normal 10 13 3" xfId="187" xr:uid="{00000000-0005-0000-0000-000012000000}"/>
    <cellStyle name="Normal 10 13 4" xfId="188" xr:uid="{00000000-0005-0000-0000-000013000000}"/>
    <cellStyle name="Normal 10 14" xfId="137" xr:uid="{00000000-0005-0000-0000-000014000000}"/>
    <cellStyle name="Normal 10 14 2" xfId="189" xr:uid="{00000000-0005-0000-0000-000015000000}"/>
    <cellStyle name="Normal 10 14 3" xfId="190" xr:uid="{00000000-0005-0000-0000-000016000000}"/>
    <cellStyle name="Normal 10 14 4" xfId="191" xr:uid="{00000000-0005-0000-0000-000017000000}"/>
    <cellStyle name="Normal 10 15" xfId="192" xr:uid="{00000000-0005-0000-0000-000018000000}"/>
    <cellStyle name="Normal 10 16" xfId="193" xr:uid="{00000000-0005-0000-0000-000019000000}"/>
    <cellStyle name="Normal 10 17" xfId="194" xr:uid="{00000000-0005-0000-0000-00001A000000}"/>
    <cellStyle name="Normal 10 18" xfId="195" xr:uid="{00000000-0005-0000-0000-00001B000000}"/>
    <cellStyle name="Normal 10 19" xfId="196" xr:uid="{00000000-0005-0000-0000-00001C000000}"/>
    <cellStyle name="Normal 10 2" xfId="7" xr:uid="{00000000-0005-0000-0000-00001D000000}"/>
    <cellStyle name="Normal 10 2 2" xfId="8" xr:uid="{00000000-0005-0000-0000-00001E000000}"/>
    <cellStyle name="Normal 10 2 2 2" xfId="85" xr:uid="{00000000-0005-0000-0000-00001F000000}"/>
    <cellStyle name="Normal 10 2 2 2 2" xfId="197" xr:uid="{00000000-0005-0000-0000-000020000000}"/>
    <cellStyle name="Normal 10 2 2 2 3" xfId="198" xr:uid="{00000000-0005-0000-0000-000021000000}"/>
    <cellStyle name="Normal 10 2 2 2 4" xfId="199" xr:uid="{00000000-0005-0000-0000-000022000000}"/>
    <cellStyle name="Normal 10 2 2 3" xfId="161" xr:uid="{00000000-0005-0000-0000-000023000000}"/>
    <cellStyle name="Normal 10 2 2 3 2" xfId="200" xr:uid="{00000000-0005-0000-0000-000024000000}"/>
    <cellStyle name="Normal 10 2 2 3 3" xfId="201" xr:uid="{00000000-0005-0000-0000-000025000000}"/>
    <cellStyle name="Normal 10 2 2 3 4" xfId="202" xr:uid="{00000000-0005-0000-0000-000026000000}"/>
    <cellStyle name="Normal 10 2 2 4" xfId="203" xr:uid="{00000000-0005-0000-0000-000027000000}"/>
    <cellStyle name="Normal 10 2 2 5" xfId="204" xr:uid="{00000000-0005-0000-0000-000028000000}"/>
    <cellStyle name="Normal 10 2 2 6" xfId="205" xr:uid="{00000000-0005-0000-0000-000029000000}"/>
    <cellStyle name="Normal 10 2 2 7" xfId="206" xr:uid="{00000000-0005-0000-0000-00002A000000}"/>
    <cellStyle name="Normal 10 2 2_Sheet1" xfId="113" xr:uid="{00000000-0005-0000-0000-00002B000000}"/>
    <cellStyle name="Normal 10 2 3" xfId="72" xr:uid="{00000000-0005-0000-0000-00002C000000}"/>
    <cellStyle name="Normal 10 2 3 2" xfId="207" xr:uid="{00000000-0005-0000-0000-00002D000000}"/>
    <cellStyle name="Normal 10 2 3 3" xfId="208" xr:uid="{00000000-0005-0000-0000-00002E000000}"/>
    <cellStyle name="Normal 10 2 3 4" xfId="209" xr:uid="{00000000-0005-0000-0000-00002F000000}"/>
    <cellStyle name="Normal 10 2 4" xfId="148" xr:uid="{00000000-0005-0000-0000-000030000000}"/>
    <cellStyle name="Normal 10 2 4 2" xfId="210" xr:uid="{00000000-0005-0000-0000-000031000000}"/>
    <cellStyle name="Normal 10 2 4 3" xfId="211" xr:uid="{00000000-0005-0000-0000-000032000000}"/>
    <cellStyle name="Normal 10 2 4 4" xfId="212" xr:uid="{00000000-0005-0000-0000-000033000000}"/>
    <cellStyle name="Normal 10 2 5" xfId="213" xr:uid="{00000000-0005-0000-0000-000034000000}"/>
    <cellStyle name="Normal 10 2 6" xfId="214" xr:uid="{00000000-0005-0000-0000-000035000000}"/>
    <cellStyle name="Normal 10 2 7" xfId="215" xr:uid="{00000000-0005-0000-0000-000036000000}"/>
    <cellStyle name="Normal 10 2 8" xfId="216" xr:uid="{00000000-0005-0000-0000-000037000000}"/>
    <cellStyle name="Normal 10 2_Sheet1" xfId="58" xr:uid="{00000000-0005-0000-0000-000038000000}"/>
    <cellStyle name="Normal 10 20" xfId="217" xr:uid="{00000000-0005-0000-0000-000039000000}"/>
    <cellStyle name="Normal 10 3" xfId="9" xr:uid="{00000000-0005-0000-0000-00003A000000}"/>
    <cellStyle name="Normal 10 3 2" xfId="84" xr:uid="{00000000-0005-0000-0000-00003B000000}"/>
    <cellStyle name="Normal 10 3 2 2" xfId="218" xr:uid="{00000000-0005-0000-0000-00003C000000}"/>
    <cellStyle name="Normal 10 3 2 3" xfId="219" xr:uid="{00000000-0005-0000-0000-00003D000000}"/>
    <cellStyle name="Normal 10 3 2 4" xfId="220" xr:uid="{00000000-0005-0000-0000-00003E000000}"/>
    <cellStyle name="Normal 10 3 3" xfId="160" xr:uid="{00000000-0005-0000-0000-00003F000000}"/>
    <cellStyle name="Normal 10 3 3 2" xfId="221" xr:uid="{00000000-0005-0000-0000-000040000000}"/>
    <cellStyle name="Normal 10 3 3 3" xfId="222" xr:uid="{00000000-0005-0000-0000-000041000000}"/>
    <cellStyle name="Normal 10 3 3 4" xfId="223" xr:uid="{00000000-0005-0000-0000-000042000000}"/>
    <cellStyle name="Normal 10 3 4" xfId="224" xr:uid="{00000000-0005-0000-0000-000043000000}"/>
    <cellStyle name="Normal 10 3 5" xfId="225" xr:uid="{00000000-0005-0000-0000-000044000000}"/>
    <cellStyle name="Normal 10 3 6" xfId="226" xr:uid="{00000000-0005-0000-0000-000045000000}"/>
    <cellStyle name="Normal 10 3 7" xfId="227" xr:uid="{00000000-0005-0000-0000-000046000000}"/>
    <cellStyle name="Normal 10 3_Sheet1" xfId="106" xr:uid="{00000000-0005-0000-0000-000047000000}"/>
    <cellStyle name="Normal 10 4" xfId="10" xr:uid="{00000000-0005-0000-0000-000048000000}"/>
    <cellStyle name="Normal 10 4 2" xfId="88" xr:uid="{00000000-0005-0000-0000-000049000000}"/>
    <cellStyle name="Normal 10 4 2 2" xfId="228" xr:uid="{00000000-0005-0000-0000-00004A000000}"/>
    <cellStyle name="Normal 10 4 2 3" xfId="229" xr:uid="{00000000-0005-0000-0000-00004B000000}"/>
    <cellStyle name="Normal 10 4 2 4" xfId="230" xr:uid="{00000000-0005-0000-0000-00004C000000}"/>
    <cellStyle name="Normal 10 4 3" xfId="164" xr:uid="{00000000-0005-0000-0000-00004D000000}"/>
    <cellStyle name="Normal 10 4 3 2" xfId="231" xr:uid="{00000000-0005-0000-0000-00004E000000}"/>
    <cellStyle name="Normal 10 4 3 3" xfId="232" xr:uid="{00000000-0005-0000-0000-00004F000000}"/>
    <cellStyle name="Normal 10 4 3 4" xfId="233" xr:uid="{00000000-0005-0000-0000-000050000000}"/>
    <cellStyle name="Normal 10 4 4" xfId="234" xr:uid="{00000000-0005-0000-0000-000051000000}"/>
    <cellStyle name="Normal 10 4 5" xfId="235" xr:uid="{00000000-0005-0000-0000-000052000000}"/>
    <cellStyle name="Normal 10 4 6" xfId="236" xr:uid="{00000000-0005-0000-0000-000053000000}"/>
    <cellStyle name="Normal 10 4 7" xfId="237" xr:uid="{00000000-0005-0000-0000-000054000000}"/>
    <cellStyle name="Normal 10 4_Sheet1" xfId="101" xr:uid="{00000000-0005-0000-0000-000055000000}"/>
    <cellStyle name="Normal 10 5" xfId="11" xr:uid="{00000000-0005-0000-0000-000056000000}"/>
    <cellStyle name="Normal 10 5 2" xfId="90" xr:uid="{00000000-0005-0000-0000-000057000000}"/>
    <cellStyle name="Normal 10 5 2 2" xfId="238" xr:uid="{00000000-0005-0000-0000-000058000000}"/>
    <cellStyle name="Normal 10 5 2 3" xfId="239" xr:uid="{00000000-0005-0000-0000-000059000000}"/>
    <cellStyle name="Normal 10 5 2 4" xfId="240" xr:uid="{00000000-0005-0000-0000-00005A000000}"/>
    <cellStyle name="Normal 10 5 3" xfId="166" xr:uid="{00000000-0005-0000-0000-00005B000000}"/>
    <cellStyle name="Normal 10 5 3 2" xfId="241" xr:uid="{00000000-0005-0000-0000-00005C000000}"/>
    <cellStyle name="Normal 10 5 3 3" xfId="242" xr:uid="{00000000-0005-0000-0000-00005D000000}"/>
    <cellStyle name="Normal 10 5 3 4" xfId="243" xr:uid="{00000000-0005-0000-0000-00005E000000}"/>
    <cellStyle name="Normal 10 5 4" xfId="244" xr:uid="{00000000-0005-0000-0000-00005F000000}"/>
    <cellStyle name="Normal 10 5 5" xfId="245" xr:uid="{00000000-0005-0000-0000-000060000000}"/>
    <cellStyle name="Normal 10 5 6" xfId="246" xr:uid="{00000000-0005-0000-0000-000061000000}"/>
    <cellStyle name="Normal 10 5 7" xfId="247" xr:uid="{00000000-0005-0000-0000-000062000000}"/>
    <cellStyle name="Normal 10 5_Sheet1" xfId="135" xr:uid="{00000000-0005-0000-0000-000063000000}"/>
    <cellStyle name="Normal 10 6" xfId="12" xr:uid="{00000000-0005-0000-0000-000064000000}"/>
    <cellStyle name="Normal 10 6 2" xfId="92" xr:uid="{00000000-0005-0000-0000-000065000000}"/>
    <cellStyle name="Normal 10 6 2 2" xfId="248" xr:uid="{00000000-0005-0000-0000-000066000000}"/>
    <cellStyle name="Normal 10 6 2 3" xfId="249" xr:uid="{00000000-0005-0000-0000-000067000000}"/>
    <cellStyle name="Normal 10 6 2 4" xfId="250" xr:uid="{00000000-0005-0000-0000-000068000000}"/>
    <cellStyle name="Normal 10 6 3" xfId="168" xr:uid="{00000000-0005-0000-0000-000069000000}"/>
    <cellStyle name="Normal 10 6 3 2" xfId="251" xr:uid="{00000000-0005-0000-0000-00006A000000}"/>
    <cellStyle name="Normal 10 6 3 3" xfId="252" xr:uid="{00000000-0005-0000-0000-00006B000000}"/>
    <cellStyle name="Normal 10 6 3 4" xfId="253" xr:uid="{00000000-0005-0000-0000-00006C000000}"/>
    <cellStyle name="Normal 10 6 4" xfId="254" xr:uid="{00000000-0005-0000-0000-00006D000000}"/>
    <cellStyle name="Normal 10 6 5" xfId="255" xr:uid="{00000000-0005-0000-0000-00006E000000}"/>
    <cellStyle name="Normal 10 6 6" xfId="256" xr:uid="{00000000-0005-0000-0000-00006F000000}"/>
    <cellStyle name="Normal 10 6 7" xfId="257" xr:uid="{00000000-0005-0000-0000-000070000000}"/>
    <cellStyle name="Normal 10 6_Sheet1" xfId="118" xr:uid="{00000000-0005-0000-0000-000071000000}"/>
    <cellStyle name="Normal 10 7" xfId="13" xr:uid="{00000000-0005-0000-0000-000072000000}"/>
    <cellStyle name="Normal 10 7 2" xfId="94" xr:uid="{00000000-0005-0000-0000-000073000000}"/>
    <cellStyle name="Normal 10 7 2 2" xfId="258" xr:uid="{00000000-0005-0000-0000-000074000000}"/>
    <cellStyle name="Normal 10 7 2 3" xfId="259" xr:uid="{00000000-0005-0000-0000-000075000000}"/>
    <cellStyle name="Normal 10 7 2 4" xfId="260" xr:uid="{00000000-0005-0000-0000-000076000000}"/>
    <cellStyle name="Normal 10 7 3" xfId="170" xr:uid="{00000000-0005-0000-0000-000077000000}"/>
    <cellStyle name="Normal 10 7 3 2" xfId="261" xr:uid="{00000000-0005-0000-0000-000078000000}"/>
    <cellStyle name="Normal 10 7 3 3" xfId="262" xr:uid="{00000000-0005-0000-0000-000079000000}"/>
    <cellStyle name="Normal 10 7 3 4" xfId="263" xr:uid="{00000000-0005-0000-0000-00007A000000}"/>
    <cellStyle name="Normal 10 7 4" xfId="264" xr:uid="{00000000-0005-0000-0000-00007B000000}"/>
    <cellStyle name="Normal 10 7 5" xfId="265" xr:uid="{00000000-0005-0000-0000-00007C000000}"/>
    <cellStyle name="Normal 10 7 6" xfId="266" xr:uid="{00000000-0005-0000-0000-00007D000000}"/>
    <cellStyle name="Normal 10 7 7" xfId="267" xr:uid="{00000000-0005-0000-0000-00007E000000}"/>
    <cellStyle name="Normal 10 7_Sheet1" xfId="131" xr:uid="{00000000-0005-0000-0000-00007F000000}"/>
    <cellStyle name="Normal 10 8" xfId="14" xr:uid="{00000000-0005-0000-0000-000080000000}"/>
    <cellStyle name="Normal 10 8 2" xfId="96" xr:uid="{00000000-0005-0000-0000-000081000000}"/>
    <cellStyle name="Normal 10 8 2 2" xfId="268" xr:uid="{00000000-0005-0000-0000-000082000000}"/>
    <cellStyle name="Normal 10 8 2 3" xfId="269" xr:uid="{00000000-0005-0000-0000-000083000000}"/>
    <cellStyle name="Normal 10 8 2 4" xfId="270" xr:uid="{00000000-0005-0000-0000-000084000000}"/>
    <cellStyle name="Normal 10 8 3" xfId="172" xr:uid="{00000000-0005-0000-0000-000085000000}"/>
    <cellStyle name="Normal 10 8 3 2" xfId="271" xr:uid="{00000000-0005-0000-0000-000086000000}"/>
    <cellStyle name="Normal 10 8 3 3" xfId="272" xr:uid="{00000000-0005-0000-0000-000087000000}"/>
    <cellStyle name="Normal 10 8 3 4" xfId="273" xr:uid="{00000000-0005-0000-0000-000088000000}"/>
    <cellStyle name="Normal 10 8 4" xfId="274" xr:uid="{00000000-0005-0000-0000-000089000000}"/>
    <cellStyle name="Normal 10 8 5" xfId="275" xr:uid="{00000000-0005-0000-0000-00008A000000}"/>
    <cellStyle name="Normal 10 8 6" xfId="276" xr:uid="{00000000-0005-0000-0000-00008B000000}"/>
    <cellStyle name="Normal 10 8 7" xfId="277" xr:uid="{00000000-0005-0000-0000-00008C000000}"/>
    <cellStyle name="Normal 10 8_Sheet1" xfId="122" xr:uid="{00000000-0005-0000-0000-00008D000000}"/>
    <cellStyle name="Normal 10 9" xfId="15" xr:uid="{00000000-0005-0000-0000-00008E000000}"/>
    <cellStyle name="Normal 10 9 2" xfId="278" xr:uid="{00000000-0005-0000-0000-00008F000000}"/>
    <cellStyle name="Normal 10 9 3" xfId="279" xr:uid="{00000000-0005-0000-0000-000090000000}"/>
    <cellStyle name="Normal 10 9 4" xfId="280" xr:uid="{00000000-0005-0000-0000-000091000000}"/>
    <cellStyle name="Normal 10_Sheet1" xfId="105" xr:uid="{00000000-0005-0000-0000-000092000000}"/>
    <cellStyle name="Normal 100" xfId="281" xr:uid="{00000000-0005-0000-0000-000093000000}"/>
    <cellStyle name="Normal 1000" xfId="282" xr:uid="{00000000-0005-0000-0000-000094000000}"/>
    <cellStyle name="Normal 1001" xfId="283" xr:uid="{00000000-0005-0000-0000-000095000000}"/>
    <cellStyle name="Normal 1002" xfId="284" xr:uid="{00000000-0005-0000-0000-000096000000}"/>
    <cellStyle name="Normal 1003" xfId="285" xr:uid="{00000000-0005-0000-0000-000097000000}"/>
    <cellStyle name="Normal 1004" xfId="286" xr:uid="{00000000-0005-0000-0000-000098000000}"/>
    <cellStyle name="Normal 1005" xfId="287" xr:uid="{00000000-0005-0000-0000-000099000000}"/>
    <cellStyle name="Normal 1006" xfId="288" xr:uid="{00000000-0005-0000-0000-00009A000000}"/>
    <cellStyle name="Normal 1007" xfId="289" xr:uid="{00000000-0005-0000-0000-00009B000000}"/>
    <cellStyle name="Normal 1008" xfId="290" xr:uid="{00000000-0005-0000-0000-00009C000000}"/>
    <cellStyle name="Normal 1009" xfId="291" xr:uid="{00000000-0005-0000-0000-00009D000000}"/>
    <cellStyle name="Normal 101" xfId="292" xr:uid="{00000000-0005-0000-0000-00009E000000}"/>
    <cellStyle name="Normal 1010" xfId="293" xr:uid="{00000000-0005-0000-0000-00009F000000}"/>
    <cellStyle name="Normal 1011" xfId="294" xr:uid="{00000000-0005-0000-0000-0000A0000000}"/>
    <cellStyle name="Normal 1012" xfId="295" xr:uid="{00000000-0005-0000-0000-0000A1000000}"/>
    <cellStyle name="Normal 1013" xfId="296" xr:uid="{00000000-0005-0000-0000-0000A2000000}"/>
    <cellStyle name="Normal 1014" xfId="297" xr:uid="{00000000-0005-0000-0000-0000A3000000}"/>
    <cellStyle name="Normal 1015" xfId="298" xr:uid="{00000000-0005-0000-0000-0000A4000000}"/>
    <cellStyle name="Normal 1016" xfId="299" xr:uid="{00000000-0005-0000-0000-0000A5000000}"/>
    <cellStyle name="Normal 1017" xfId="300" xr:uid="{00000000-0005-0000-0000-0000A6000000}"/>
    <cellStyle name="Normal 1018" xfId="301" xr:uid="{00000000-0005-0000-0000-0000A7000000}"/>
    <cellStyle name="Normal 1019" xfId="302" xr:uid="{00000000-0005-0000-0000-0000A8000000}"/>
    <cellStyle name="Normal 102" xfId="303" xr:uid="{00000000-0005-0000-0000-0000A9000000}"/>
    <cellStyle name="Normal 1020" xfId="304" xr:uid="{00000000-0005-0000-0000-0000AA000000}"/>
    <cellStyle name="Normal 1021" xfId="305" xr:uid="{00000000-0005-0000-0000-0000AB000000}"/>
    <cellStyle name="Normal 1022" xfId="306" xr:uid="{00000000-0005-0000-0000-0000AC000000}"/>
    <cellStyle name="Normal 1023" xfId="307" xr:uid="{00000000-0005-0000-0000-0000AD000000}"/>
    <cellStyle name="Normal 1024" xfId="308" xr:uid="{00000000-0005-0000-0000-0000AE000000}"/>
    <cellStyle name="Normal 1025" xfId="309" xr:uid="{00000000-0005-0000-0000-0000AF000000}"/>
    <cellStyle name="Normal 1026" xfId="310" xr:uid="{00000000-0005-0000-0000-0000B0000000}"/>
    <cellStyle name="Normal 1027" xfId="311" xr:uid="{00000000-0005-0000-0000-0000B1000000}"/>
    <cellStyle name="Normal 1028" xfId="312" xr:uid="{00000000-0005-0000-0000-0000B2000000}"/>
    <cellStyle name="Normal 1029" xfId="313" xr:uid="{00000000-0005-0000-0000-0000B3000000}"/>
    <cellStyle name="Normal 103" xfId="314" xr:uid="{00000000-0005-0000-0000-0000B4000000}"/>
    <cellStyle name="Normal 1030" xfId="315" xr:uid="{00000000-0005-0000-0000-0000B5000000}"/>
    <cellStyle name="Normal 1031" xfId="316" xr:uid="{00000000-0005-0000-0000-0000B6000000}"/>
    <cellStyle name="Normal 1032" xfId="317" xr:uid="{00000000-0005-0000-0000-0000B7000000}"/>
    <cellStyle name="Normal 1033" xfId="318" xr:uid="{00000000-0005-0000-0000-0000B8000000}"/>
    <cellStyle name="Normal 1034" xfId="319" xr:uid="{00000000-0005-0000-0000-0000B9000000}"/>
    <cellStyle name="Normal 1035" xfId="320" xr:uid="{00000000-0005-0000-0000-0000BA000000}"/>
    <cellStyle name="Normal 1036" xfId="321" xr:uid="{00000000-0005-0000-0000-0000BB000000}"/>
    <cellStyle name="Normal 1037" xfId="322" xr:uid="{00000000-0005-0000-0000-0000BC000000}"/>
    <cellStyle name="Normal 1038" xfId="323" xr:uid="{00000000-0005-0000-0000-0000BD000000}"/>
    <cellStyle name="Normal 1039" xfId="324" xr:uid="{00000000-0005-0000-0000-0000BE000000}"/>
    <cellStyle name="Normal 104" xfId="325" xr:uid="{00000000-0005-0000-0000-0000BF000000}"/>
    <cellStyle name="Normal 1040" xfId="326" xr:uid="{00000000-0005-0000-0000-0000C0000000}"/>
    <cellStyle name="Normal 1041" xfId="327" xr:uid="{00000000-0005-0000-0000-0000C1000000}"/>
    <cellStyle name="Normal 1042" xfId="328" xr:uid="{00000000-0005-0000-0000-0000C2000000}"/>
    <cellStyle name="Normal 1043" xfId="329" xr:uid="{00000000-0005-0000-0000-0000C3000000}"/>
    <cellStyle name="Normal 1044" xfId="330" xr:uid="{00000000-0005-0000-0000-0000C4000000}"/>
    <cellStyle name="Normal 1045" xfId="331" xr:uid="{00000000-0005-0000-0000-0000C5000000}"/>
    <cellStyle name="Normal 1046" xfId="332" xr:uid="{00000000-0005-0000-0000-0000C6000000}"/>
    <cellStyle name="Normal 1047" xfId="333" xr:uid="{00000000-0005-0000-0000-0000C7000000}"/>
    <cellStyle name="Normal 1048" xfId="334" xr:uid="{00000000-0005-0000-0000-0000C8000000}"/>
    <cellStyle name="Normal 1049" xfId="335" xr:uid="{00000000-0005-0000-0000-0000C9000000}"/>
    <cellStyle name="Normal 105" xfId="336" xr:uid="{00000000-0005-0000-0000-0000CA000000}"/>
    <cellStyle name="Normal 1050" xfId="337" xr:uid="{00000000-0005-0000-0000-0000CB000000}"/>
    <cellStyle name="Normal 1051" xfId="338" xr:uid="{00000000-0005-0000-0000-0000CC000000}"/>
    <cellStyle name="Normal 1052" xfId="339" xr:uid="{00000000-0005-0000-0000-0000CD000000}"/>
    <cellStyle name="Normal 1053" xfId="340" xr:uid="{00000000-0005-0000-0000-0000CE000000}"/>
    <cellStyle name="Normal 1054" xfId="341" xr:uid="{00000000-0005-0000-0000-0000CF000000}"/>
    <cellStyle name="Normal 1055" xfId="342" xr:uid="{00000000-0005-0000-0000-0000D0000000}"/>
    <cellStyle name="Normal 1056" xfId="343" xr:uid="{00000000-0005-0000-0000-0000D1000000}"/>
    <cellStyle name="Normal 1057" xfId="344" xr:uid="{00000000-0005-0000-0000-0000D2000000}"/>
    <cellStyle name="Normal 1058" xfId="345" xr:uid="{00000000-0005-0000-0000-0000D3000000}"/>
    <cellStyle name="Normal 1059" xfId="346" xr:uid="{00000000-0005-0000-0000-0000D4000000}"/>
    <cellStyle name="Normal 106" xfId="347" xr:uid="{00000000-0005-0000-0000-0000D5000000}"/>
    <cellStyle name="Normal 1060" xfId="348" xr:uid="{00000000-0005-0000-0000-0000D6000000}"/>
    <cellStyle name="Normal 1061" xfId="349" xr:uid="{00000000-0005-0000-0000-0000D7000000}"/>
    <cellStyle name="Normal 1062" xfId="350" xr:uid="{00000000-0005-0000-0000-0000D8000000}"/>
    <cellStyle name="Normal 1063" xfId="351" xr:uid="{00000000-0005-0000-0000-0000D9000000}"/>
    <cellStyle name="Normal 1064" xfId="352" xr:uid="{00000000-0005-0000-0000-0000DA000000}"/>
    <cellStyle name="Normal 1065" xfId="353" xr:uid="{00000000-0005-0000-0000-0000DB000000}"/>
    <cellStyle name="Normal 1066" xfId="354" xr:uid="{00000000-0005-0000-0000-0000DC000000}"/>
    <cellStyle name="Normal 1067" xfId="355" xr:uid="{00000000-0005-0000-0000-0000DD000000}"/>
    <cellStyle name="Normal 1068" xfId="356" xr:uid="{00000000-0005-0000-0000-0000DE000000}"/>
    <cellStyle name="Normal 1069" xfId="357" xr:uid="{00000000-0005-0000-0000-0000DF000000}"/>
    <cellStyle name="Normal 107" xfId="358" xr:uid="{00000000-0005-0000-0000-0000E0000000}"/>
    <cellStyle name="Normal 1070" xfId="359" xr:uid="{00000000-0005-0000-0000-0000E1000000}"/>
    <cellStyle name="Normal 1071" xfId="360" xr:uid="{00000000-0005-0000-0000-0000E2000000}"/>
    <cellStyle name="Normal 1072" xfId="361" xr:uid="{00000000-0005-0000-0000-0000E3000000}"/>
    <cellStyle name="Normal 1073" xfId="362" xr:uid="{00000000-0005-0000-0000-0000E4000000}"/>
    <cellStyle name="Normal 1074" xfId="363" xr:uid="{00000000-0005-0000-0000-0000E5000000}"/>
    <cellStyle name="Normal 1075" xfId="364" xr:uid="{00000000-0005-0000-0000-0000E6000000}"/>
    <cellStyle name="Normal 1076" xfId="365" xr:uid="{00000000-0005-0000-0000-0000E7000000}"/>
    <cellStyle name="Normal 1077" xfId="366" xr:uid="{00000000-0005-0000-0000-0000E8000000}"/>
    <cellStyle name="Normal 1078" xfId="367" xr:uid="{00000000-0005-0000-0000-0000E9000000}"/>
    <cellStyle name="Normal 1079" xfId="368" xr:uid="{00000000-0005-0000-0000-0000EA000000}"/>
    <cellStyle name="Normal 108" xfId="369" xr:uid="{00000000-0005-0000-0000-0000EB000000}"/>
    <cellStyle name="Normal 1080" xfId="370" xr:uid="{00000000-0005-0000-0000-0000EC000000}"/>
    <cellStyle name="Normal 1081" xfId="371" xr:uid="{00000000-0005-0000-0000-0000ED000000}"/>
    <cellStyle name="Normal 1082" xfId="372" xr:uid="{00000000-0005-0000-0000-0000EE000000}"/>
    <cellStyle name="Normal 1082 2" xfId="373" xr:uid="{00000000-0005-0000-0000-0000EF000000}"/>
    <cellStyle name="Normal 1083" xfId="374" xr:uid="{00000000-0005-0000-0000-0000F0000000}"/>
    <cellStyle name="Normal 1084" xfId="375" xr:uid="{00000000-0005-0000-0000-0000F1000000}"/>
    <cellStyle name="Normal 1085" xfId="376" xr:uid="{00000000-0005-0000-0000-0000F2000000}"/>
    <cellStyle name="Normal 1085 2" xfId="377" xr:uid="{00000000-0005-0000-0000-0000F3000000}"/>
    <cellStyle name="Normal 1085 3" xfId="378" xr:uid="{00000000-0005-0000-0000-0000F4000000}"/>
    <cellStyle name="Normal 1086" xfId="379" xr:uid="{00000000-0005-0000-0000-0000F5000000}"/>
    <cellStyle name="Normal 1087" xfId="380" xr:uid="{00000000-0005-0000-0000-0000F6000000}"/>
    <cellStyle name="Normal 1088" xfId="381" xr:uid="{00000000-0005-0000-0000-0000F7000000}"/>
    <cellStyle name="Normal 1089" xfId="382" xr:uid="{00000000-0005-0000-0000-0000F8000000}"/>
    <cellStyle name="Normal 109" xfId="383" xr:uid="{00000000-0005-0000-0000-0000F9000000}"/>
    <cellStyle name="Normal 1090" xfId="384" xr:uid="{00000000-0005-0000-0000-0000FA000000}"/>
    <cellStyle name="Normal 1091" xfId="385" xr:uid="{00000000-0005-0000-0000-0000FB000000}"/>
    <cellStyle name="Normal 1092" xfId="386" xr:uid="{00000000-0005-0000-0000-0000FC000000}"/>
    <cellStyle name="Normal 1093" xfId="387" xr:uid="{00000000-0005-0000-0000-0000FD000000}"/>
    <cellStyle name="Normal 1094" xfId="388" xr:uid="{00000000-0005-0000-0000-0000FE000000}"/>
    <cellStyle name="Normal 1095" xfId="389" xr:uid="{00000000-0005-0000-0000-0000FF000000}"/>
    <cellStyle name="Normal 1096" xfId="390" xr:uid="{00000000-0005-0000-0000-000000010000}"/>
    <cellStyle name="Normal 1097" xfId="391" xr:uid="{00000000-0005-0000-0000-000001010000}"/>
    <cellStyle name="Normal 1098" xfId="392" xr:uid="{00000000-0005-0000-0000-000002010000}"/>
    <cellStyle name="Normal 1099" xfId="393" xr:uid="{00000000-0005-0000-0000-000003010000}"/>
    <cellStyle name="Normal 11" xfId="16" xr:uid="{00000000-0005-0000-0000-000004010000}"/>
    <cellStyle name="Normal 11 2" xfId="75" xr:uid="{00000000-0005-0000-0000-000005010000}"/>
    <cellStyle name="Normal 11 2 2" xfId="394" xr:uid="{00000000-0005-0000-0000-000006010000}"/>
    <cellStyle name="Normal 11 2 3" xfId="395" xr:uid="{00000000-0005-0000-0000-000007010000}"/>
    <cellStyle name="Normal 11 2 4" xfId="396" xr:uid="{00000000-0005-0000-0000-000008010000}"/>
    <cellStyle name="Normal 11 3" xfId="151" xr:uid="{00000000-0005-0000-0000-000009010000}"/>
    <cellStyle name="Normal 11 3 2" xfId="397" xr:uid="{00000000-0005-0000-0000-00000A010000}"/>
    <cellStyle name="Normal 11 3 3" xfId="398" xr:uid="{00000000-0005-0000-0000-00000B010000}"/>
    <cellStyle name="Normal 11 3 4" xfId="399" xr:uid="{00000000-0005-0000-0000-00000C010000}"/>
    <cellStyle name="Normal 11 4" xfId="400" xr:uid="{00000000-0005-0000-0000-00000D010000}"/>
    <cellStyle name="Normal 11 5" xfId="401" xr:uid="{00000000-0005-0000-0000-00000E010000}"/>
    <cellStyle name="Normal 11 6" xfId="402" xr:uid="{00000000-0005-0000-0000-00000F010000}"/>
    <cellStyle name="Normal 11 7" xfId="403" xr:uid="{00000000-0005-0000-0000-000010010000}"/>
    <cellStyle name="Normal 11_Sheet1" xfId="109" xr:uid="{00000000-0005-0000-0000-000011010000}"/>
    <cellStyle name="Normal 110" xfId="404" xr:uid="{00000000-0005-0000-0000-000012010000}"/>
    <cellStyle name="Normal 1100" xfId="405" xr:uid="{00000000-0005-0000-0000-000013010000}"/>
    <cellStyle name="Normal 1101" xfId="406" xr:uid="{00000000-0005-0000-0000-000014010000}"/>
    <cellStyle name="Normal 1102" xfId="407" xr:uid="{00000000-0005-0000-0000-000015010000}"/>
    <cellStyle name="Normal 1103" xfId="408" xr:uid="{00000000-0005-0000-0000-000016010000}"/>
    <cellStyle name="Normal 1104" xfId="409" xr:uid="{00000000-0005-0000-0000-000017010000}"/>
    <cellStyle name="Normal 1105" xfId="410" xr:uid="{00000000-0005-0000-0000-000018010000}"/>
    <cellStyle name="Normal 1106" xfId="411" xr:uid="{00000000-0005-0000-0000-000019010000}"/>
    <cellStyle name="Normal 1107" xfId="412" xr:uid="{00000000-0005-0000-0000-00001A010000}"/>
    <cellStyle name="Normal 1108" xfId="413" xr:uid="{00000000-0005-0000-0000-00001B010000}"/>
    <cellStyle name="Normal 1109" xfId="414" xr:uid="{00000000-0005-0000-0000-00001C010000}"/>
    <cellStyle name="Normal 111" xfId="415" xr:uid="{00000000-0005-0000-0000-00001D010000}"/>
    <cellStyle name="Normal 1110" xfId="416" xr:uid="{00000000-0005-0000-0000-00001E010000}"/>
    <cellStyle name="Normal 1111" xfId="417" xr:uid="{00000000-0005-0000-0000-00001F010000}"/>
    <cellStyle name="Normal 1112" xfId="418" xr:uid="{00000000-0005-0000-0000-000020010000}"/>
    <cellStyle name="Normal 1113" xfId="419" xr:uid="{00000000-0005-0000-0000-000021010000}"/>
    <cellStyle name="Normal 1114" xfId="420" xr:uid="{00000000-0005-0000-0000-000022010000}"/>
    <cellStyle name="Normal 1115" xfId="421" xr:uid="{00000000-0005-0000-0000-000023010000}"/>
    <cellStyle name="Normal 1116" xfId="422" xr:uid="{00000000-0005-0000-0000-000024010000}"/>
    <cellStyle name="Normal 1117" xfId="423" xr:uid="{00000000-0005-0000-0000-000025010000}"/>
    <cellStyle name="Normal 1118" xfId="424" xr:uid="{00000000-0005-0000-0000-000026010000}"/>
    <cellStyle name="Normal 1119" xfId="425" xr:uid="{00000000-0005-0000-0000-000027010000}"/>
    <cellStyle name="Normal 112" xfId="426" xr:uid="{00000000-0005-0000-0000-000028010000}"/>
    <cellStyle name="Normal 1120" xfId="427" xr:uid="{00000000-0005-0000-0000-000029010000}"/>
    <cellStyle name="Normal 1121" xfId="428" xr:uid="{00000000-0005-0000-0000-00002A010000}"/>
    <cellStyle name="Normal 1122" xfId="429" xr:uid="{00000000-0005-0000-0000-00002B010000}"/>
    <cellStyle name="Normal 1123" xfId="430" xr:uid="{00000000-0005-0000-0000-00002C010000}"/>
    <cellStyle name="Normal 1124" xfId="431" xr:uid="{00000000-0005-0000-0000-00002D010000}"/>
    <cellStyle name="Normal 1125" xfId="432" xr:uid="{00000000-0005-0000-0000-00002E010000}"/>
    <cellStyle name="Normal 1126" xfId="433" xr:uid="{00000000-0005-0000-0000-00002F010000}"/>
    <cellStyle name="Normal 1127" xfId="434" xr:uid="{00000000-0005-0000-0000-000030010000}"/>
    <cellStyle name="Normal 1128" xfId="435" xr:uid="{00000000-0005-0000-0000-000031010000}"/>
    <cellStyle name="Normal 1129" xfId="436" xr:uid="{00000000-0005-0000-0000-000032010000}"/>
    <cellStyle name="Normal 113" xfId="437" xr:uid="{00000000-0005-0000-0000-000033010000}"/>
    <cellStyle name="Normal 1130" xfId="438" xr:uid="{00000000-0005-0000-0000-000034010000}"/>
    <cellStyle name="Normal 1131" xfId="439" xr:uid="{00000000-0005-0000-0000-000035010000}"/>
    <cellStyle name="Normal 1132" xfId="440" xr:uid="{00000000-0005-0000-0000-000036010000}"/>
    <cellStyle name="Normal 1133" xfId="441" xr:uid="{00000000-0005-0000-0000-000037010000}"/>
    <cellStyle name="Normal 1134" xfId="442" xr:uid="{00000000-0005-0000-0000-000038010000}"/>
    <cellStyle name="Normal 1135" xfId="443" xr:uid="{00000000-0005-0000-0000-000039010000}"/>
    <cellStyle name="Normal 1136" xfId="444" xr:uid="{00000000-0005-0000-0000-00003A010000}"/>
    <cellStyle name="Normal 1137" xfId="445" xr:uid="{00000000-0005-0000-0000-00003B010000}"/>
    <cellStyle name="Normal 1138" xfId="446" xr:uid="{00000000-0005-0000-0000-00003C010000}"/>
    <cellStyle name="Normal 1139" xfId="447" xr:uid="{00000000-0005-0000-0000-00003D010000}"/>
    <cellStyle name="Normal 114" xfId="448" xr:uid="{00000000-0005-0000-0000-00003E010000}"/>
    <cellStyle name="Normal 1140" xfId="449" xr:uid="{00000000-0005-0000-0000-00003F010000}"/>
    <cellStyle name="Normal 1141" xfId="450" xr:uid="{00000000-0005-0000-0000-000040010000}"/>
    <cellStyle name="Normal 1142" xfId="451" xr:uid="{00000000-0005-0000-0000-000041010000}"/>
    <cellStyle name="Normal 1143" xfId="452" xr:uid="{00000000-0005-0000-0000-000042010000}"/>
    <cellStyle name="Normal 1144" xfId="453" xr:uid="{00000000-0005-0000-0000-000043010000}"/>
    <cellStyle name="Normal 1145" xfId="454" xr:uid="{00000000-0005-0000-0000-000044010000}"/>
    <cellStyle name="Normal 1146" xfId="455" xr:uid="{00000000-0005-0000-0000-000045010000}"/>
    <cellStyle name="Normal 1147" xfId="456" xr:uid="{00000000-0005-0000-0000-000046010000}"/>
    <cellStyle name="Normal 1148" xfId="457" xr:uid="{00000000-0005-0000-0000-000047010000}"/>
    <cellStyle name="Normal 1149" xfId="458" xr:uid="{00000000-0005-0000-0000-000048010000}"/>
    <cellStyle name="Normal 115" xfId="459" xr:uid="{00000000-0005-0000-0000-000049010000}"/>
    <cellStyle name="Normal 1150" xfId="460" xr:uid="{00000000-0005-0000-0000-00004A010000}"/>
    <cellStyle name="Normal 1151" xfId="461" xr:uid="{00000000-0005-0000-0000-00004B010000}"/>
    <cellStyle name="Normal 1152" xfId="462" xr:uid="{00000000-0005-0000-0000-00004C010000}"/>
    <cellStyle name="Normal 1153" xfId="463" xr:uid="{00000000-0005-0000-0000-00004D010000}"/>
    <cellStyle name="Normal 1154" xfId="464" xr:uid="{00000000-0005-0000-0000-00004E010000}"/>
    <cellStyle name="Normal 1155" xfId="465" xr:uid="{00000000-0005-0000-0000-00004F010000}"/>
    <cellStyle name="Normal 1156" xfId="466" xr:uid="{00000000-0005-0000-0000-000050010000}"/>
    <cellStyle name="Normal 1157" xfId="467" xr:uid="{00000000-0005-0000-0000-000051010000}"/>
    <cellStyle name="Normal 1158" xfId="468" xr:uid="{00000000-0005-0000-0000-000052010000}"/>
    <cellStyle name="Normal 1159" xfId="469" xr:uid="{00000000-0005-0000-0000-000053010000}"/>
    <cellStyle name="Normal 116" xfId="470" xr:uid="{00000000-0005-0000-0000-000054010000}"/>
    <cellStyle name="Normal 1160" xfId="471" xr:uid="{00000000-0005-0000-0000-000055010000}"/>
    <cellStyle name="Normal 1161" xfId="472" xr:uid="{00000000-0005-0000-0000-000056010000}"/>
    <cellStyle name="Normal 1162" xfId="473" xr:uid="{00000000-0005-0000-0000-000057010000}"/>
    <cellStyle name="Normal 1163" xfId="474" xr:uid="{00000000-0005-0000-0000-000058010000}"/>
    <cellStyle name="Normal 1164" xfId="475" xr:uid="{00000000-0005-0000-0000-000059010000}"/>
    <cellStyle name="Normal 1165" xfId="476" xr:uid="{00000000-0005-0000-0000-00005A010000}"/>
    <cellStyle name="Normal 1166" xfId="477" xr:uid="{00000000-0005-0000-0000-00005B010000}"/>
    <cellStyle name="Normal 1167" xfId="478" xr:uid="{00000000-0005-0000-0000-00005C010000}"/>
    <cellStyle name="Normal 1168" xfId="479" xr:uid="{00000000-0005-0000-0000-00005D010000}"/>
    <cellStyle name="Normal 1169" xfId="480" xr:uid="{00000000-0005-0000-0000-00005E010000}"/>
    <cellStyle name="Normal 117" xfId="481" xr:uid="{00000000-0005-0000-0000-00005F010000}"/>
    <cellStyle name="Normal 1170" xfId="482" xr:uid="{00000000-0005-0000-0000-000060010000}"/>
    <cellStyle name="Normal 1171" xfId="483" xr:uid="{00000000-0005-0000-0000-000061010000}"/>
    <cellStyle name="Normal 1172" xfId="484" xr:uid="{00000000-0005-0000-0000-000062010000}"/>
    <cellStyle name="Normal 1173" xfId="485" xr:uid="{00000000-0005-0000-0000-000063010000}"/>
    <cellStyle name="Normal 1174" xfId="486" xr:uid="{00000000-0005-0000-0000-000064010000}"/>
    <cellStyle name="Normal 1175" xfId="487" xr:uid="{00000000-0005-0000-0000-000065010000}"/>
    <cellStyle name="Normal 1176" xfId="488" xr:uid="{00000000-0005-0000-0000-000066010000}"/>
    <cellStyle name="Normal 1177" xfId="489" xr:uid="{00000000-0005-0000-0000-000067010000}"/>
    <cellStyle name="Normal 1178" xfId="490" xr:uid="{00000000-0005-0000-0000-000068010000}"/>
    <cellStyle name="Normal 1179" xfId="491" xr:uid="{00000000-0005-0000-0000-000069010000}"/>
    <cellStyle name="Normal 118" xfId="492" xr:uid="{00000000-0005-0000-0000-00006A010000}"/>
    <cellStyle name="Normal 1180" xfId="493" xr:uid="{00000000-0005-0000-0000-00006B010000}"/>
    <cellStyle name="Normal 1181" xfId="494" xr:uid="{00000000-0005-0000-0000-00006C010000}"/>
    <cellStyle name="Normal 1182" xfId="495" xr:uid="{00000000-0005-0000-0000-00006D010000}"/>
    <cellStyle name="Normal 1183" xfId="496" xr:uid="{00000000-0005-0000-0000-00006E010000}"/>
    <cellStyle name="Normal 1184" xfId="497" xr:uid="{00000000-0005-0000-0000-00006F010000}"/>
    <cellStyle name="Normal 1185" xfId="498" xr:uid="{00000000-0005-0000-0000-000070010000}"/>
    <cellStyle name="Normal 1186" xfId="499" xr:uid="{00000000-0005-0000-0000-000071010000}"/>
    <cellStyle name="Normal 1187" xfId="500" xr:uid="{00000000-0005-0000-0000-000072010000}"/>
    <cellStyle name="Normal 1188" xfId="501" xr:uid="{00000000-0005-0000-0000-000073010000}"/>
    <cellStyle name="Normal 1189" xfId="502" xr:uid="{00000000-0005-0000-0000-000074010000}"/>
    <cellStyle name="Normal 119" xfId="503" xr:uid="{00000000-0005-0000-0000-000075010000}"/>
    <cellStyle name="Normal 1190" xfId="504" xr:uid="{00000000-0005-0000-0000-000076010000}"/>
    <cellStyle name="Normal 1191" xfId="505" xr:uid="{00000000-0005-0000-0000-000077010000}"/>
    <cellStyle name="Normal 1192" xfId="506" xr:uid="{00000000-0005-0000-0000-000078010000}"/>
    <cellStyle name="Normal 1193" xfId="507" xr:uid="{00000000-0005-0000-0000-000079010000}"/>
    <cellStyle name="Normal 1194" xfId="508" xr:uid="{00000000-0005-0000-0000-00007A010000}"/>
    <cellStyle name="Normal 1195" xfId="509" xr:uid="{00000000-0005-0000-0000-00007B010000}"/>
    <cellStyle name="Normal 1196" xfId="510" xr:uid="{00000000-0005-0000-0000-00007C010000}"/>
    <cellStyle name="Normal 1197" xfId="511" xr:uid="{00000000-0005-0000-0000-00007D010000}"/>
    <cellStyle name="Normal 1198" xfId="512" xr:uid="{00000000-0005-0000-0000-00007E010000}"/>
    <cellStyle name="Normal 1199" xfId="513" xr:uid="{00000000-0005-0000-0000-00007F010000}"/>
    <cellStyle name="Normal 12" xfId="17" xr:uid="{00000000-0005-0000-0000-000080010000}"/>
    <cellStyle name="Normal 12 2" xfId="18" xr:uid="{00000000-0005-0000-0000-000081010000}"/>
    <cellStyle name="Normal 12 2 2" xfId="19" xr:uid="{00000000-0005-0000-0000-000082010000}"/>
    <cellStyle name="Normal 12 2 2 2" xfId="86" xr:uid="{00000000-0005-0000-0000-000083010000}"/>
    <cellStyle name="Normal 12 2 2 2 2" xfId="514" xr:uid="{00000000-0005-0000-0000-000084010000}"/>
    <cellStyle name="Normal 12 2 2 2 3" xfId="515" xr:uid="{00000000-0005-0000-0000-000085010000}"/>
    <cellStyle name="Normal 12 2 2 2 4" xfId="516" xr:uid="{00000000-0005-0000-0000-000086010000}"/>
    <cellStyle name="Normal 12 2 2 3" xfId="162" xr:uid="{00000000-0005-0000-0000-000087010000}"/>
    <cellStyle name="Normal 12 2 2 3 2" xfId="517" xr:uid="{00000000-0005-0000-0000-000088010000}"/>
    <cellStyle name="Normal 12 2 2 3 3" xfId="518" xr:uid="{00000000-0005-0000-0000-000089010000}"/>
    <cellStyle name="Normal 12 2 2 3 4" xfId="519" xr:uid="{00000000-0005-0000-0000-00008A010000}"/>
    <cellStyle name="Normal 12 2 2 4" xfId="520" xr:uid="{00000000-0005-0000-0000-00008B010000}"/>
    <cellStyle name="Normal 12 2 2 5" xfId="521" xr:uid="{00000000-0005-0000-0000-00008C010000}"/>
    <cellStyle name="Normal 12 2 2 6" xfId="522" xr:uid="{00000000-0005-0000-0000-00008D010000}"/>
    <cellStyle name="Normal 12 2 2 7" xfId="523" xr:uid="{00000000-0005-0000-0000-00008E010000}"/>
    <cellStyle name="Normal 12 2 2_Sheet1" xfId="133" xr:uid="{00000000-0005-0000-0000-00008F010000}"/>
    <cellStyle name="Normal 12 2 3" xfId="74" xr:uid="{00000000-0005-0000-0000-000090010000}"/>
    <cellStyle name="Normal 12 2 3 2" xfId="524" xr:uid="{00000000-0005-0000-0000-000091010000}"/>
    <cellStyle name="Normal 12 2 3 3" xfId="525" xr:uid="{00000000-0005-0000-0000-000092010000}"/>
    <cellStyle name="Normal 12 2 3 4" xfId="526" xr:uid="{00000000-0005-0000-0000-000093010000}"/>
    <cellStyle name="Normal 12 2 4" xfId="150" xr:uid="{00000000-0005-0000-0000-000094010000}"/>
    <cellStyle name="Normal 12 2 4 2" xfId="527" xr:uid="{00000000-0005-0000-0000-000095010000}"/>
    <cellStyle name="Normal 12 2 4 3" xfId="528" xr:uid="{00000000-0005-0000-0000-000096010000}"/>
    <cellStyle name="Normal 12 2 4 4" xfId="529" xr:uid="{00000000-0005-0000-0000-000097010000}"/>
    <cellStyle name="Normal 12 2 5" xfId="530" xr:uid="{00000000-0005-0000-0000-000098010000}"/>
    <cellStyle name="Normal 12 2 6" xfId="531" xr:uid="{00000000-0005-0000-0000-000099010000}"/>
    <cellStyle name="Normal 12 2 7" xfId="532" xr:uid="{00000000-0005-0000-0000-00009A010000}"/>
    <cellStyle name="Normal 12 2 8" xfId="533" xr:uid="{00000000-0005-0000-0000-00009B010000}"/>
    <cellStyle name="Normal 12 2_Sheet1" xfId="107" xr:uid="{00000000-0005-0000-0000-00009C010000}"/>
    <cellStyle name="Normal 12 3" xfId="20" xr:uid="{00000000-0005-0000-0000-00009D010000}"/>
    <cellStyle name="Normal 12 3 2" xfId="534" xr:uid="{00000000-0005-0000-0000-00009E010000}"/>
    <cellStyle name="Normal 12 3 3" xfId="535" xr:uid="{00000000-0005-0000-0000-00009F010000}"/>
    <cellStyle name="Normal 12 3 4" xfId="536" xr:uid="{00000000-0005-0000-0000-0000A0010000}"/>
    <cellStyle name="Normal 12 4" xfId="80" xr:uid="{00000000-0005-0000-0000-0000A1010000}"/>
    <cellStyle name="Normal 12 4 2" xfId="537" xr:uid="{00000000-0005-0000-0000-0000A2010000}"/>
    <cellStyle name="Normal 12 4 3" xfId="538" xr:uid="{00000000-0005-0000-0000-0000A3010000}"/>
    <cellStyle name="Normal 12 4 4" xfId="539" xr:uid="{00000000-0005-0000-0000-0000A4010000}"/>
    <cellStyle name="Normal 12 5" xfId="156" xr:uid="{00000000-0005-0000-0000-0000A5010000}"/>
    <cellStyle name="Normal 12 5 2" xfId="540" xr:uid="{00000000-0005-0000-0000-0000A6010000}"/>
    <cellStyle name="Normal 12 5 3" xfId="541" xr:uid="{00000000-0005-0000-0000-0000A7010000}"/>
    <cellStyle name="Normal 12 5 4" xfId="542" xr:uid="{00000000-0005-0000-0000-0000A8010000}"/>
    <cellStyle name="Normal 12 6" xfId="543" xr:uid="{00000000-0005-0000-0000-0000A9010000}"/>
    <cellStyle name="Normal 12 7" xfId="544" xr:uid="{00000000-0005-0000-0000-0000AA010000}"/>
    <cellStyle name="Normal 12 8" xfId="545" xr:uid="{00000000-0005-0000-0000-0000AB010000}"/>
    <cellStyle name="Normal 12 9" xfId="546" xr:uid="{00000000-0005-0000-0000-0000AC010000}"/>
    <cellStyle name="Normal 12_Sheet1" xfId="57" xr:uid="{00000000-0005-0000-0000-0000AD010000}"/>
    <cellStyle name="Normal 120" xfId="547" xr:uid="{00000000-0005-0000-0000-0000AE010000}"/>
    <cellStyle name="Normal 1200" xfId="548" xr:uid="{00000000-0005-0000-0000-0000AF010000}"/>
    <cellStyle name="Normal 1201" xfId="549" xr:uid="{00000000-0005-0000-0000-0000B0010000}"/>
    <cellStyle name="Normal 1202" xfId="550" xr:uid="{00000000-0005-0000-0000-0000B1010000}"/>
    <cellStyle name="Normal 1203" xfId="551" xr:uid="{00000000-0005-0000-0000-0000B2010000}"/>
    <cellStyle name="Normal 1204" xfId="552" xr:uid="{00000000-0005-0000-0000-0000B3010000}"/>
    <cellStyle name="Normal 1205" xfId="553" xr:uid="{00000000-0005-0000-0000-0000B4010000}"/>
    <cellStyle name="Normal 1206" xfId="554" xr:uid="{00000000-0005-0000-0000-0000B5010000}"/>
    <cellStyle name="Normal 1207" xfId="555" xr:uid="{00000000-0005-0000-0000-0000B6010000}"/>
    <cellStyle name="Normal 1208" xfId="556" xr:uid="{00000000-0005-0000-0000-0000B7010000}"/>
    <cellStyle name="Normal 1209" xfId="557" xr:uid="{00000000-0005-0000-0000-0000B8010000}"/>
    <cellStyle name="Normal 121" xfId="558" xr:uid="{00000000-0005-0000-0000-0000B9010000}"/>
    <cellStyle name="Normal 1210" xfId="559" xr:uid="{00000000-0005-0000-0000-0000BA010000}"/>
    <cellStyle name="Normal 1211" xfId="560" xr:uid="{00000000-0005-0000-0000-0000BB010000}"/>
    <cellStyle name="Normal 1212" xfId="561" xr:uid="{00000000-0005-0000-0000-0000BC010000}"/>
    <cellStyle name="Normal 1213" xfId="562" xr:uid="{00000000-0005-0000-0000-0000BD010000}"/>
    <cellStyle name="Normal 1214" xfId="563" xr:uid="{00000000-0005-0000-0000-0000BE010000}"/>
    <cellStyle name="Normal 1215" xfId="564" xr:uid="{00000000-0005-0000-0000-0000BF010000}"/>
    <cellStyle name="Normal 1216" xfId="565" xr:uid="{00000000-0005-0000-0000-0000C0010000}"/>
    <cellStyle name="Normal 1217" xfId="566" xr:uid="{00000000-0005-0000-0000-0000C1010000}"/>
    <cellStyle name="Normal 1218" xfId="567" xr:uid="{00000000-0005-0000-0000-0000C2010000}"/>
    <cellStyle name="Normal 1219" xfId="568" xr:uid="{00000000-0005-0000-0000-0000C3010000}"/>
    <cellStyle name="Normal 122" xfId="569" xr:uid="{00000000-0005-0000-0000-0000C4010000}"/>
    <cellStyle name="Normal 1220" xfId="570" xr:uid="{00000000-0005-0000-0000-0000C5010000}"/>
    <cellStyle name="Normal 1221" xfId="571" xr:uid="{00000000-0005-0000-0000-0000C6010000}"/>
    <cellStyle name="Normal 1222" xfId="572" xr:uid="{00000000-0005-0000-0000-0000C7010000}"/>
    <cellStyle name="Normal 1223" xfId="573" xr:uid="{00000000-0005-0000-0000-0000C8010000}"/>
    <cellStyle name="Normal 1224" xfId="574" xr:uid="{00000000-0005-0000-0000-0000C9010000}"/>
    <cellStyle name="Normal 1225" xfId="575" xr:uid="{00000000-0005-0000-0000-0000CA010000}"/>
    <cellStyle name="Normal 1226" xfId="576" xr:uid="{00000000-0005-0000-0000-0000CB010000}"/>
    <cellStyle name="Normal 1227" xfId="577" xr:uid="{00000000-0005-0000-0000-0000CC010000}"/>
    <cellStyle name="Normal 1228" xfId="578" xr:uid="{00000000-0005-0000-0000-0000CD010000}"/>
    <cellStyle name="Normal 1229" xfId="579" xr:uid="{00000000-0005-0000-0000-0000CE010000}"/>
    <cellStyle name="Normal 123" xfId="580" xr:uid="{00000000-0005-0000-0000-0000CF010000}"/>
    <cellStyle name="Normal 1230" xfId="581" xr:uid="{00000000-0005-0000-0000-0000D0010000}"/>
    <cellStyle name="Normal 1231" xfId="582" xr:uid="{00000000-0005-0000-0000-0000D1010000}"/>
    <cellStyle name="Normal 1232" xfId="583" xr:uid="{00000000-0005-0000-0000-0000D2010000}"/>
    <cellStyle name="Normal 1233" xfId="584" xr:uid="{00000000-0005-0000-0000-0000D3010000}"/>
    <cellStyle name="Normal 1234" xfId="585" xr:uid="{00000000-0005-0000-0000-0000D4010000}"/>
    <cellStyle name="Normal 1235" xfId="586" xr:uid="{00000000-0005-0000-0000-0000D5010000}"/>
    <cellStyle name="Normal 1236" xfId="587" xr:uid="{00000000-0005-0000-0000-0000D6010000}"/>
    <cellStyle name="Normal 1237" xfId="588" xr:uid="{00000000-0005-0000-0000-0000D7010000}"/>
    <cellStyle name="Normal 1238" xfId="589" xr:uid="{00000000-0005-0000-0000-0000D8010000}"/>
    <cellStyle name="Normal 1239" xfId="590" xr:uid="{00000000-0005-0000-0000-0000D9010000}"/>
    <cellStyle name="Normal 124" xfId="591" xr:uid="{00000000-0005-0000-0000-0000DA010000}"/>
    <cellStyle name="Normal 1240" xfId="592" xr:uid="{00000000-0005-0000-0000-0000DB010000}"/>
    <cellStyle name="Normal 1241" xfId="593" xr:uid="{00000000-0005-0000-0000-0000DC010000}"/>
    <cellStyle name="Normal 1242" xfId="594" xr:uid="{00000000-0005-0000-0000-0000DD010000}"/>
    <cellStyle name="Normal 1243" xfId="595" xr:uid="{00000000-0005-0000-0000-0000DE010000}"/>
    <cellStyle name="Normal 1244" xfId="596" xr:uid="{00000000-0005-0000-0000-0000DF010000}"/>
    <cellStyle name="Normal 1245" xfId="597" xr:uid="{00000000-0005-0000-0000-0000E0010000}"/>
    <cellStyle name="Normal 1246" xfId="598" xr:uid="{00000000-0005-0000-0000-0000E1010000}"/>
    <cellStyle name="Normal 1247" xfId="599" xr:uid="{00000000-0005-0000-0000-0000E2010000}"/>
    <cellStyle name="Normal 1248" xfId="600" xr:uid="{00000000-0005-0000-0000-0000E3010000}"/>
    <cellStyle name="Normal 1249" xfId="601" xr:uid="{00000000-0005-0000-0000-0000E4010000}"/>
    <cellStyle name="Normal 125" xfId="602" xr:uid="{00000000-0005-0000-0000-0000E5010000}"/>
    <cellStyle name="Normal 1250" xfId="603" xr:uid="{00000000-0005-0000-0000-0000E6010000}"/>
    <cellStyle name="Normal 1251" xfId="604" xr:uid="{00000000-0005-0000-0000-0000E7010000}"/>
    <cellStyle name="Normal 1252" xfId="605" xr:uid="{00000000-0005-0000-0000-0000E8010000}"/>
    <cellStyle name="Normal 1253" xfId="606" xr:uid="{00000000-0005-0000-0000-0000E9010000}"/>
    <cellStyle name="Normal 1254" xfId="607" xr:uid="{00000000-0005-0000-0000-0000EA010000}"/>
    <cellStyle name="Normal 1255" xfId="608" xr:uid="{00000000-0005-0000-0000-0000EB010000}"/>
    <cellStyle name="Normal 1256" xfId="609" xr:uid="{00000000-0005-0000-0000-0000EC010000}"/>
    <cellStyle name="Normal 1257" xfId="610" xr:uid="{00000000-0005-0000-0000-0000ED010000}"/>
    <cellStyle name="Normal 1258" xfId="611" xr:uid="{00000000-0005-0000-0000-0000EE010000}"/>
    <cellStyle name="Normal 1259" xfId="612" xr:uid="{00000000-0005-0000-0000-0000EF010000}"/>
    <cellStyle name="Normal 126" xfId="613" xr:uid="{00000000-0005-0000-0000-0000F0010000}"/>
    <cellStyle name="Normal 1260" xfId="614" xr:uid="{00000000-0005-0000-0000-0000F1010000}"/>
    <cellStyle name="Normal 1261" xfId="615" xr:uid="{00000000-0005-0000-0000-0000F2010000}"/>
    <cellStyle name="Normal 1262" xfId="616" xr:uid="{00000000-0005-0000-0000-0000F3010000}"/>
    <cellStyle name="Normal 1263" xfId="617" xr:uid="{00000000-0005-0000-0000-0000F4010000}"/>
    <cellStyle name="Normal 1264" xfId="618" xr:uid="{00000000-0005-0000-0000-0000F5010000}"/>
    <cellStyle name="Normal 1265" xfId="619" xr:uid="{00000000-0005-0000-0000-0000F6010000}"/>
    <cellStyle name="Normal 1266" xfId="620" xr:uid="{00000000-0005-0000-0000-0000F7010000}"/>
    <cellStyle name="Normal 1267" xfId="621" xr:uid="{00000000-0005-0000-0000-0000F8010000}"/>
    <cellStyle name="Normal 1268" xfId="622" xr:uid="{00000000-0005-0000-0000-0000F9010000}"/>
    <cellStyle name="Normal 1269" xfId="623" xr:uid="{00000000-0005-0000-0000-0000FA010000}"/>
    <cellStyle name="Normal 127" xfId="624" xr:uid="{00000000-0005-0000-0000-0000FB010000}"/>
    <cellStyle name="Normal 1270" xfId="625" xr:uid="{00000000-0005-0000-0000-0000FC010000}"/>
    <cellStyle name="Normal 1271" xfId="626" xr:uid="{00000000-0005-0000-0000-0000FD010000}"/>
    <cellStyle name="Normal 1272" xfId="627" xr:uid="{00000000-0005-0000-0000-0000FE010000}"/>
    <cellStyle name="Normal 1273" xfId="628" xr:uid="{00000000-0005-0000-0000-0000FF010000}"/>
    <cellStyle name="Normal 1274" xfId="629" xr:uid="{00000000-0005-0000-0000-000000020000}"/>
    <cellStyle name="Normal 1275" xfId="630" xr:uid="{00000000-0005-0000-0000-000001020000}"/>
    <cellStyle name="Normal 1276" xfId="631" xr:uid="{00000000-0005-0000-0000-000002020000}"/>
    <cellStyle name="Normal 1277" xfId="632" xr:uid="{00000000-0005-0000-0000-000003020000}"/>
    <cellStyle name="Normal 1278" xfId="633" xr:uid="{00000000-0005-0000-0000-000004020000}"/>
    <cellStyle name="Normal 1279" xfId="634" xr:uid="{00000000-0005-0000-0000-000005020000}"/>
    <cellStyle name="Normal 128" xfId="635" xr:uid="{00000000-0005-0000-0000-000006020000}"/>
    <cellStyle name="Normal 1280" xfId="636" xr:uid="{00000000-0005-0000-0000-000007020000}"/>
    <cellStyle name="Normal 1281" xfId="637" xr:uid="{00000000-0005-0000-0000-000008020000}"/>
    <cellStyle name="Normal 1282" xfId="638" xr:uid="{00000000-0005-0000-0000-000009020000}"/>
    <cellStyle name="Normal 1283" xfId="639" xr:uid="{00000000-0005-0000-0000-00000A020000}"/>
    <cellStyle name="Normal 1284" xfId="640" xr:uid="{00000000-0005-0000-0000-00000B020000}"/>
    <cellStyle name="Normal 1285" xfId="641" xr:uid="{00000000-0005-0000-0000-00000C020000}"/>
    <cellStyle name="Normal 1286" xfId="642" xr:uid="{00000000-0005-0000-0000-00000D020000}"/>
    <cellStyle name="Normal 1287" xfId="643" xr:uid="{00000000-0005-0000-0000-00000E020000}"/>
    <cellStyle name="Normal 1288" xfId="644" xr:uid="{00000000-0005-0000-0000-00000F020000}"/>
    <cellStyle name="Normal 1289" xfId="645" xr:uid="{00000000-0005-0000-0000-000010020000}"/>
    <cellStyle name="Normal 129" xfId="646" xr:uid="{00000000-0005-0000-0000-000011020000}"/>
    <cellStyle name="Normal 1290" xfId="647" xr:uid="{00000000-0005-0000-0000-000012020000}"/>
    <cellStyle name="Normal 1291" xfId="648" xr:uid="{00000000-0005-0000-0000-000013020000}"/>
    <cellStyle name="Normal 1292" xfId="649" xr:uid="{00000000-0005-0000-0000-000014020000}"/>
    <cellStyle name="Normal 1293" xfId="650" xr:uid="{00000000-0005-0000-0000-000015020000}"/>
    <cellStyle name="Normal 1294" xfId="651" xr:uid="{00000000-0005-0000-0000-000016020000}"/>
    <cellStyle name="Normal 1295" xfId="652" xr:uid="{00000000-0005-0000-0000-000017020000}"/>
    <cellStyle name="Normal 1296" xfId="653" xr:uid="{00000000-0005-0000-0000-000018020000}"/>
    <cellStyle name="Normal 1297" xfId="654" xr:uid="{00000000-0005-0000-0000-000019020000}"/>
    <cellStyle name="Normal 1298" xfId="655" xr:uid="{00000000-0005-0000-0000-00001A020000}"/>
    <cellStyle name="Normal 1299" xfId="656" xr:uid="{00000000-0005-0000-0000-00001B020000}"/>
    <cellStyle name="Normal 13" xfId="21" xr:uid="{00000000-0005-0000-0000-00001C020000}"/>
    <cellStyle name="Normal 13 2" xfId="22" xr:uid="{00000000-0005-0000-0000-00001D020000}"/>
    <cellStyle name="Normal 13 2 2" xfId="73" xr:uid="{00000000-0005-0000-0000-00001E020000}"/>
    <cellStyle name="Normal 13 2 2 2" xfId="657" xr:uid="{00000000-0005-0000-0000-00001F020000}"/>
    <cellStyle name="Normal 13 2 2 3" xfId="658" xr:uid="{00000000-0005-0000-0000-000020020000}"/>
    <cellStyle name="Normal 13 2 2 4" xfId="659" xr:uid="{00000000-0005-0000-0000-000021020000}"/>
    <cellStyle name="Normal 13 2 3" xfId="149" xr:uid="{00000000-0005-0000-0000-000022020000}"/>
    <cellStyle name="Normal 13 2 3 2" xfId="660" xr:uid="{00000000-0005-0000-0000-000023020000}"/>
    <cellStyle name="Normal 13 2 3 3" xfId="661" xr:uid="{00000000-0005-0000-0000-000024020000}"/>
    <cellStyle name="Normal 13 2 3 4" xfId="662" xr:uid="{00000000-0005-0000-0000-000025020000}"/>
    <cellStyle name="Normal 13 2 4" xfId="663" xr:uid="{00000000-0005-0000-0000-000026020000}"/>
    <cellStyle name="Normal 13 2 5" xfId="664" xr:uid="{00000000-0005-0000-0000-000027020000}"/>
    <cellStyle name="Normal 13 2 6" xfId="665" xr:uid="{00000000-0005-0000-0000-000028020000}"/>
    <cellStyle name="Normal 13 2 7" xfId="666" xr:uid="{00000000-0005-0000-0000-000029020000}"/>
    <cellStyle name="Normal 13 2_Sheet1" xfId="116" xr:uid="{00000000-0005-0000-0000-00002A020000}"/>
    <cellStyle name="Normal 13 3" xfId="23" xr:uid="{00000000-0005-0000-0000-00002B020000}"/>
    <cellStyle name="Normal 13 3 2" xfId="83" xr:uid="{00000000-0005-0000-0000-00002C020000}"/>
    <cellStyle name="Normal 13 3 2 2" xfId="667" xr:uid="{00000000-0005-0000-0000-00002D020000}"/>
    <cellStyle name="Normal 13 3 2 3" xfId="668" xr:uid="{00000000-0005-0000-0000-00002E020000}"/>
    <cellStyle name="Normal 13 3 2 4" xfId="669" xr:uid="{00000000-0005-0000-0000-00002F020000}"/>
    <cellStyle name="Normal 13 3 3" xfId="159" xr:uid="{00000000-0005-0000-0000-000030020000}"/>
    <cellStyle name="Normal 13 3 3 2" xfId="670" xr:uid="{00000000-0005-0000-0000-000031020000}"/>
    <cellStyle name="Normal 13 3 3 3" xfId="671" xr:uid="{00000000-0005-0000-0000-000032020000}"/>
    <cellStyle name="Normal 13 3 3 4" xfId="672" xr:uid="{00000000-0005-0000-0000-000033020000}"/>
    <cellStyle name="Normal 13 3 4" xfId="673" xr:uid="{00000000-0005-0000-0000-000034020000}"/>
    <cellStyle name="Normal 13 3 5" xfId="674" xr:uid="{00000000-0005-0000-0000-000035020000}"/>
    <cellStyle name="Normal 13 3 6" xfId="675" xr:uid="{00000000-0005-0000-0000-000036020000}"/>
    <cellStyle name="Normal 13 3 7" xfId="676" xr:uid="{00000000-0005-0000-0000-000037020000}"/>
    <cellStyle name="Normal 13 3_Sheet1" xfId="111" xr:uid="{00000000-0005-0000-0000-000038020000}"/>
    <cellStyle name="Normal 13 4" xfId="81" xr:uid="{00000000-0005-0000-0000-000039020000}"/>
    <cellStyle name="Normal 13 4 2" xfId="677" xr:uid="{00000000-0005-0000-0000-00003A020000}"/>
    <cellStyle name="Normal 13 4 3" xfId="678" xr:uid="{00000000-0005-0000-0000-00003B020000}"/>
    <cellStyle name="Normal 13 4 4" xfId="679" xr:uid="{00000000-0005-0000-0000-00003C020000}"/>
    <cellStyle name="Normal 13 5" xfId="157" xr:uid="{00000000-0005-0000-0000-00003D020000}"/>
    <cellStyle name="Normal 13 5 2" xfId="680" xr:uid="{00000000-0005-0000-0000-00003E020000}"/>
    <cellStyle name="Normal 13 5 3" xfId="681" xr:uid="{00000000-0005-0000-0000-00003F020000}"/>
    <cellStyle name="Normal 13 5 4" xfId="682" xr:uid="{00000000-0005-0000-0000-000040020000}"/>
    <cellStyle name="Normal 13 6" xfId="683" xr:uid="{00000000-0005-0000-0000-000041020000}"/>
    <cellStyle name="Normal 13 7" xfId="684" xr:uid="{00000000-0005-0000-0000-000042020000}"/>
    <cellStyle name="Normal 13 8" xfId="685" xr:uid="{00000000-0005-0000-0000-000043020000}"/>
    <cellStyle name="Normal 13 9" xfId="686" xr:uid="{00000000-0005-0000-0000-000044020000}"/>
    <cellStyle name="Normal 13_Sheet1" xfId="108" xr:uid="{00000000-0005-0000-0000-000045020000}"/>
    <cellStyle name="Normal 130" xfId="687" xr:uid="{00000000-0005-0000-0000-000046020000}"/>
    <cellStyle name="Normal 1300" xfId="688" xr:uid="{00000000-0005-0000-0000-000047020000}"/>
    <cellStyle name="Normal 1301" xfId="689" xr:uid="{00000000-0005-0000-0000-000048020000}"/>
    <cellStyle name="Normal 1302" xfId="690" xr:uid="{00000000-0005-0000-0000-000049020000}"/>
    <cellStyle name="Normal 1303" xfId="691" xr:uid="{00000000-0005-0000-0000-00004A020000}"/>
    <cellStyle name="Normal 1304" xfId="692" xr:uid="{00000000-0005-0000-0000-00004B020000}"/>
    <cellStyle name="Normal 1305" xfId="693" xr:uid="{00000000-0005-0000-0000-00004C020000}"/>
    <cellStyle name="Normal 1306" xfId="694" xr:uid="{00000000-0005-0000-0000-00004D020000}"/>
    <cellStyle name="Normal 1307" xfId="695" xr:uid="{00000000-0005-0000-0000-00004E020000}"/>
    <cellStyle name="Normal 1308" xfId="696" xr:uid="{00000000-0005-0000-0000-00004F020000}"/>
    <cellStyle name="Normal 1309" xfId="697" xr:uid="{00000000-0005-0000-0000-000050020000}"/>
    <cellStyle name="Normal 131" xfId="698" xr:uid="{00000000-0005-0000-0000-000051020000}"/>
    <cellStyle name="Normal 1310" xfId="699" xr:uid="{00000000-0005-0000-0000-000052020000}"/>
    <cellStyle name="Normal 1311" xfId="700" xr:uid="{00000000-0005-0000-0000-000053020000}"/>
    <cellStyle name="Normal 1312" xfId="701" xr:uid="{00000000-0005-0000-0000-000054020000}"/>
    <cellStyle name="Normal 1313" xfId="702" xr:uid="{00000000-0005-0000-0000-000055020000}"/>
    <cellStyle name="Normal 1314" xfId="703" xr:uid="{00000000-0005-0000-0000-000056020000}"/>
    <cellStyle name="Normal 1315" xfId="704" xr:uid="{00000000-0005-0000-0000-000057020000}"/>
    <cellStyle name="Normal 1316" xfId="705" xr:uid="{00000000-0005-0000-0000-000058020000}"/>
    <cellStyle name="Normal 1317" xfId="706" xr:uid="{00000000-0005-0000-0000-000059020000}"/>
    <cellStyle name="Normal 1318" xfId="707" xr:uid="{00000000-0005-0000-0000-00005A020000}"/>
    <cellStyle name="Normal 1319" xfId="708" xr:uid="{00000000-0005-0000-0000-00005B020000}"/>
    <cellStyle name="Normal 132" xfId="709" xr:uid="{00000000-0005-0000-0000-00005C020000}"/>
    <cellStyle name="Normal 1320" xfId="710" xr:uid="{00000000-0005-0000-0000-00005D020000}"/>
    <cellStyle name="Normal 1321" xfId="711" xr:uid="{00000000-0005-0000-0000-00005E020000}"/>
    <cellStyle name="Normal 1322" xfId="712" xr:uid="{00000000-0005-0000-0000-00005F020000}"/>
    <cellStyle name="Normal 1323" xfId="713" xr:uid="{00000000-0005-0000-0000-000060020000}"/>
    <cellStyle name="Normal 1324" xfId="714" xr:uid="{00000000-0005-0000-0000-000061020000}"/>
    <cellStyle name="Normal 1325" xfId="715" xr:uid="{00000000-0005-0000-0000-000062020000}"/>
    <cellStyle name="Normal 1326" xfId="716" xr:uid="{00000000-0005-0000-0000-000063020000}"/>
    <cellStyle name="Normal 1327" xfId="717" xr:uid="{00000000-0005-0000-0000-000064020000}"/>
    <cellStyle name="Normal 1328" xfId="718" xr:uid="{00000000-0005-0000-0000-000065020000}"/>
    <cellStyle name="Normal 1329" xfId="719" xr:uid="{00000000-0005-0000-0000-000066020000}"/>
    <cellStyle name="Normal 133" xfId="720" xr:uid="{00000000-0005-0000-0000-000067020000}"/>
    <cellStyle name="Normal 1330" xfId="721" xr:uid="{00000000-0005-0000-0000-000068020000}"/>
    <cellStyle name="Normal 1331" xfId="722" xr:uid="{00000000-0005-0000-0000-000069020000}"/>
    <cellStyle name="Normal 1332" xfId="723" xr:uid="{00000000-0005-0000-0000-00006A020000}"/>
    <cellStyle name="Normal 1333" xfId="724" xr:uid="{00000000-0005-0000-0000-00006B020000}"/>
    <cellStyle name="Normal 1334" xfId="725" xr:uid="{00000000-0005-0000-0000-00006C020000}"/>
    <cellStyle name="Normal 1335" xfId="726" xr:uid="{00000000-0005-0000-0000-00006D020000}"/>
    <cellStyle name="Normal 1336" xfId="727" xr:uid="{00000000-0005-0000-0000-00006E020000}"/>
    <cellStyle name="Normal 1337" xfId="728" xr:uid="{00000000-0005-0000-0000-00006F020000}"/>
    <cellStyle name="Normal 1338" xfId="729" xr:uid="{00000000-0005-0000-0000-000070020000}"/>
    <cellStyle name="Normal 1339" xfId="730" xr:uid="{00000000-0005-0000-0000-000071020000}"/>
    <cellStyle name="Normal 134" xfId="731" xr:uid="{00000000-0005-0000-0000-000072020000}"/>
    <cellStyle name="Normal 1340" xfId="732" xr:uid="{00000000-0005-0000-0000-000073020000}"/>
    <cellStyle name="Normal 1341" xfId="733" xr:uid="{00000000-0005-0000-0000-000074020000}"/>
    <cellStyle name="Normal 1342" xfId="734" xr:uid="{00000000-0005-0000-0000-000075020000}"/>
    <cellStyle name="Normal 1343" xfId="735" xr:uid="{00000000-0005-0000-0000-000076020000}"/>
    <cellStyle name="Normal 1344" xfId="736" xr:uid="{00000000-0005-0000-0000-000077020000}"/>
    <cellStyle name="Normal 1345" xfId="737" xr:uid="{00000000-0005-0000-0000-000078020000}"/>
    <cellStyle name="Normal 1346" xfId="738" xr:uid="{00000000-0005-0000-0000-000079020000}"/>
    <cellStyle name="Normal 1347" xfId="739" xr:uid="{00000000-0005-0000-0000-00007A020000}"/>
    <cellStyle name="Normal 1348" xfId="740" xr:uid="{00000000-0005-0000-0000-00007B020000}"/>
    <cellStyle name="Normal 1349" xfId="741" xr:uid="{00000000-0005-0000-0000-00007C020000}"/>
    <cellStyle name="Normal 135" xfId="742" xr:uid="{00000000-0005-0000-0000-00007D020000}"/>
    <cellStyle name="Normal 1350" xfId="743" xr:uid="{00000000-0005-0000-0000-00007E020000}"/>
    <cellStyle name="Normal 1351" xfId="744" xr:uid="{00000000-0005-0000-0000-00007F020000}"/>
    <cellStyle name="Normal 1352" xfId="745" xr:uid="{00000000-0005-0000-0000-000080020000}"/>
    <cellStyle name="Normal 1353" xfId="746" xr:uid="{00000000-0005-0000-0000-000081020000}"/>
    <cellStyle name="Normal 1354" xfId="747" xr:uid="{00000000-0005-0000-0000-000082020000}"/>
    <cellStyle name="Normal 1355" xfId="748" xr:uid="{00000000-0005-0000-0000-000083020000}"/>
    <cellStyle name="Normal 1356" xfId="749" xr:uid="{00000000-0005-0000-0000-000084020000}"/>
    <cellStyle name="Normal 1357" xfId="750" xr:uid="{00000000-0005-0000-0000-000085020000}"/>
    <cellStyle name="Normal 1358" xfId="751" xr:uid="{00000000-0005-0000-0000-000086020000}"/>
    <cellStyle name="Normal 1359" xfId="752" xr:uid="{00000000-0005-0000-0000-000087020000}"/>
    <cellStyle name="Normal 136" xfId="753" xr:uid="{00000000-0005-0000-0000-000088020000}"/>
    <cellStyle name="Normal 1360" xfId="754" xr:uid="{00000000-0005-0000-0000-000089020000}"/>
    <cellStyle name="Normal 1361" xfId="755" xr:uid="{00000000-0005-0000-0000-00008A020000}"/>
    <cellStyle name="Normal 1362" xfId="756" xr:uid="{00000000-0005-0000-0000-00008B020000}"/>
    <cellStyle name="Normal 1363" xfId="757" xr:uid="{00000000-0005-0000-0000-00008C020000}"/>
    <cellStyle name="Normal 1364" xfId="758" xr:uid="{00000000-0005-0000-0000-00008D020000}"/>
    <cellStyle name="Normal 1365" xfId="759" xr:uid="{00000000-0005-0000-0000-00008E020000}"/>
    <cellStyle name="Normal 1366" xfId="760" xr:uid="{00000000-0005-0000-0000-00008F020000}"/>
    <cellStyle name="Normal 1367" xfId="761" xr:uid="{00000000-0005-0000-0000-000090020000}"/>
    <cellStyle name="Normal 1368" xfId="762" xr:uid="{00000000-0005-0000-0000-000091020000}"/>
    <cellStyle name="Normal 1369" xfId="763" xr:uid="{00000000-0005-0000-0000-000092020000}"/>
    <cellStyle name="Normal 137" xfId="764" xr:uid="{00000000-0005-0000-0000-000093020000}"/>
    <cellStyle name="Normal 1370" xfId="765" xr:uid="{00000000-0005-0000-0000-000094020000}"/>
    <cellStyle name="Normal 1371" xfId="766" xr:uid="{00000000-0005-0000-0000-000095020000}"/>
    <cellStyle name="Normal 1372" xfId="767" xr:uid="{00000000-0005-0000-0000-000096020000}"/>
    <cellStyle name="Normal 1373" xfId="768" xr:uid="{00000000-0005-0000-0000-000097020000}"/>
    <cellStyle name="Normal 1374" xfId="769" xr:uid="{00000000-0005-0000-0000-000098020000}"/>
    <cellStyle name="Normal 1375" xfId="770" xr:uid="{00000000-0005-0000-0000-000099020000}"/>
    <cellStyle name="Normal 1376" xfId="771" xr:uid="{00000000-0005-0000-0000-00009A020000}"/>
    <cellStyle name="Normal 1377" xfId="772" xr:uid="{00000000-0005-0000-0000-00009B020000}"/>
    <cellStyle name="Normal 1378" xfId="773" xr:uid="{00000000-0005-0000-0000-00009C020000}"/>
    <cellStyle name="Normal 1379" xfId="774" xr:uid="{00000000-0005-0000-0000-00009D020000}"/>
    <cellStyle name="Normal 138" xfId="775" xr:uid="{00000000-0005-0000-0000-00009E020000}"/>
    <cellStyle name="Normal 1380" xfId="776" xr:uid="{00000000-0005-0000-0000-00009F020000}"/>
    <cellStyle name="Normal 1381" xfId="777" xr:uid="{00000000-0005-0000-0000-0000A0020000}"/>
    <cellStyle name="Normal 1382" xfId="778" xr:uid="{00000000-0005-0000-0000-0000A1020000}"/>
    <cellStyle name="Normal 1383" xfId="779" xr:uid="{00000000-0005-0000-0000-0000A2020000}"/>
    <cellStyle name="Normal 1384" xfId="780" xr:uid="{00000000-0005-0000-0000-0000A3020000}"/>
    <cellStyle name="Normal 1385" xfId="781" xr:uid="{00000000-0005-0000-0000-0000A4020000}"/>
    <cellStyle name="Normal 1386" xfId="782" xr:uid="{00000000-0005-0000-0000-0000A5020000}"/>
    <cellStyle name="Normal 1387" xfId="783" xr:uid="{00000000-0005-0000-0000-0000A6020000}"/>
    <cellStyle name="Normal 1388" xfId="784" xr:uid="{00000000-0005-0000-0000-0000A7020000}"/>
    <cellStyle name="Normal 1389" xfId="785" xr:uid="{00000000-0005-0000-0000-0000A8020000}"/>
    <cellStyle name="Normal 139" xfId="786" xr:uid="{00000000-0005-0000-0000-0000A9020000}"/>
    <cellStyle name="Normal 1390" xfId="787" xr:uid="{00000000-0005-0000-0000-0000AA020000}"/>
    <cellStyle name="Normal 1391" xfId="788" xr:uid="{00000000-0005-0000-0000-0000AB020000}"/>
    <cellStyle name="Normal 1392" xfId="789" xr:uid="{00000000-0005-0000-0000-0000AC020000}"/>
    <cellStyle name="Normal 1393" xfId="790" xr:uid="{00000000-0005-0000-0000-0000AD020000}"/>
    <cellStyle name="Normal 1394" xfId="791" xr:uid="{00000000-0005-0000-0000-0000AE020000}"/>
    <cellStyle name="Normal 1395" xfId="792" xr:uid="{00000000-0005-0000-0000-0000AF020000}"/>
    <cellStyle name="Normal 1396" xfId="793" xr:uid="{00000000-0005-0000-0000-0000B0020000}"/>
    <cellStyle name="Normal 1397" xfId="794" xr:uid="{00000000-0005-0000-0000-0000B1020000}"/>
    <cellStyle name="Normal 1398" xfId="795" xr:uid="{00000000-0005-0000-0000-0000B2020000}"/>
    <cellStyle name="Normal 1399" xfId="796" xr:uid="{00000000-0005-0000-0000-0000B3020000}"/>
    <cellStyle name="Normal 14" xfId="24" xr:uid="{00000000-0005-0000-0000-0000B4020000}"/>
    <cellStyle name="Normal 14 2" xfId="71" xr:uid="{00000000-0005-0000-0000-0000B5020000}"/>
    <cellStyle name="Normal 14 2 2" xfId="797" xr:uid="{00000000-0005-0000-0000-0000B6020000}"/>
    <cellStyle name="Normal 14 2 3" xfId="798" xr:uid="{00000000-0005-0000-0000-0000B7020000}"/>
    <cellStyle name="Normal 14 2 4" xfId="799" xr:uid="{00000000-0005-0000-0000-0000B8020000}"/>
    <cellStyle name="Normal 14 3" xfId="147" xr:uid="{00000000-0005-0000-0000-0000B9020000}"/>
    <cellStyle name="Normal 14 3 2" xfId="800" xr:uid="{00000000-0005-0000-0000-0000BA020000}"/>
    <cellStyle name="Normal 14 3 3" xfId="801" xr:uid="{00000000-0005-0000-0000-0000BB020000}"/>
    <cellStyle name="Normal 14 3 4" xfId="802" xr:uid="{00000000-0005-0000-0000-0000BC020000}"/>
    <cellStyle name="Normal 14 4" xfId="803" xr:uid="{00000000-0005-0000-0000-0000BD020000}"/>
    <cellStyle name="Normal 14 5" xfId="804" xr:uid="{00000000-0005-0000-0000-0000BE020000}"/>
    <cellStyle name="Normal 14 6" xfId="805" xr:uid="{00000000-0005-0000-0000-0000BF020000}"/>
    <cellStyle name="Normal 14 7" xfId="806" xr:uid="{00000000-0005-0000-0000-0000C0020000}"/>
    <cellStyle name="Normal 14_Sheet1" xfId="120" xr:uid="{00000000-0005-0000-0000-0000C1020000}"/>
    <cellStyle name="Normal 140" xfId="807" xr:uid="{00000000-0005-0000-0000-0000C2020000}"/>
    <cellStyle name="Normal 1400" xfId="808" xr:uid="{00000000-0005-0000-0000-0000C3020000}"/>
    <cellStyle name="Normal 1401" xfId="809" xr:uid="{00000000-0005-0000-0000-0000C4020000}"/>
    <cellStyle name="Normal 1402" xfId="810" xr:uid="{00000000-0005-0000-0000-0000C5020000}"/>
    <cellStyle name="Normal 1403" xfId="811" xr:uid="{00000000-0005-0000-0000-0000C6020000}"/>
    <cellStyle name="Normal 1404" xfId="812" xr:uid="{00000000-0005-0000-0000-0000C7020000}"/>
    <cellStyle name="Normal 1405" xfId="813" xr:uid="{00000000-0005-0000-0000-0000C8020000}"/>
    <cellStyle name="Normal 1406" xfId="814" xr:uid="{00000000-0005-0000-0000-0000C9020000}"/>
    <cellStyle name="Normal 1407" xfId="815" xr:uid="{00000000-0005-0000-0000-0000CA020000}"/>
    <cellStyle name="Normal 1408" xfId="816" xr:uid="{00000000-0005-0000-0000-0000CB020000}"/>
    <cellStyle name="Normal 1409" xfId="817" xr:uid="{00000000-0005-0000-0000-0000CC020000}"/>
    <cellStyle name="Normal 141" xfId="818" xr:uid="{00000000-0005-0000-0000-0000CD020000}"/>
    <cellStyle name="Normal 1410" xfId="819" xr:uid="{00000000-0005-0000-0000-0000CE020000}"/>
    <cellStyle name="Normal 1411" xfId="820" xr:uid="{00000000-0005-0000-0000-0000CF020000}"/>
    <cellStyle name="Normal 1412" xfId="821" xr:uid="{00000000-0005-0000-0000-0000D0020000}"/>
    <cellStyle name="Normal 1413" xfId="822" xr:uid="{00000000-0005-0000-0000-0000D1020000}"/>
    <cellStyle name="Normal 1414" xfId="823" xr:uid="{00000000-0005-0000-0000-0000D2020000}"/>
    <cellStyle name="Normal 1415" xfId="824" xr:uid="{00000000-0005-0000-0000-0000D3020000}"/>
    <cellStyle name="Normal 1416" xfId="825" xr:uid="{00000000-0005-0000-0000-0000D4020000}"/>
    <cellStyle name="Normal 1417" xfId="826" xr:uid="{00000000-0005-0000-0000-0000D5020000}"/>
    <cellStyle name="Normal 1418" xfId="827" xr:uid="{00000000-0005-0000-0000-0000D6020000}"/>
    <cellStyle name="Normal 1419" xfId="828" xr:uid="{00000000-0005-0000-0000-0000D7020000}"/>
    <cellStyle name="Normal 142" xfId="829" xr:uid="{00000000-0005-0000-0000-0000D8020000}"/>
    <cellStyle name="Normal 1420" xfId="830" xr:uid="{00000000-0005-0000-0000-0000D9020000}"/>
    <cellStyle name="Normal 1421" xfId="831" xr:uid="{00000000-0005-0000-0000-0000DA020000}"/>
    <cellStyle name="Normal 1422" xfId="832" xr:uid="{00000000-0005-0000-0000-0000DB020000}"/>
    <cellStyle name="Normal 1423" xfId="833" xr:uid="{00000000-0005-0000-0000-0000DC020000}"/>
    <cellStyle name="Normal 1424" xfId="834" xr:uid="{00000000-0005-0000-0000-0000DD020000}"/>
    <cellStyle name="Normal 1425" xfId="835" xr:uid="{00000000-0005-0000-0000-0000DE020000}"/>
    <cellStyle name="Normal 1426" xfId="836" xr:uid="{00000000-0005-0000-0000-0000DF020000}"/>
    <cellStyle name="Normal 1427" xfId="837" xr:uid="{00000000-0005-0000-0000-0000E0020000}"/>
    <cellStyle name="Normal 1428" xfId="838" xr:uid="{00000000-0005-0000-0000-0000E1020000}"/>
    <cellStyle name="Normal 1429" xfId="839" xr:uid="{00000000-0005-0000-0000-0000E2020000}"/>
    <cellStyle name="Normal 143" xfId="840" xr:uid="{00000000-0005-0000-0000-0000E3020000}"/>
    <cellStyle name="Normal 1430" xfId="841" xr:uid="{00000000-0005-0000-0000-0000E4020000}"/>
    <cellStyle name="Normal 1431" xfId="842" xr:uid="{00000000-0005-0000-0000-0000E5020000}"/>
    <cellStyle name="Normal 1432" xfId="843" xr:uid="{00000000-0005-0000-0000-0000E6020000}"/>
    <cellStyle name="Normal 1433" xfId="844" xr:uid="{00000000-0005-0000-0000-0000E7020000}"/>
    <cellStyle name="Normal 1434" xfId="845" xr:uid="{00000000-0005-0000-0000-0000E8020000}"/>
    <cellStyle name="Normal 1435" xfId="846" xr:uid="{00000000-0005-0000-0000-0000E9020000}"/>
    <cellStyle name="Normal 1436" xfId="847" xr:uid="{00000000-0005-0000-0000-0000EA020000}"/>
    <cellStyle name="Normal 1437" xfId="848" xr:uid="{00000000-0005-0000-0000-0000EB020000}"/>
    <cellStyle name="Normal 1438" xfId="849" xr:uid="{00000000-0005-0000-0000-0000EC020000}"/>
    <cellStyle name="Normal 1439" xfId="850" xr:uid="{00000000-0005-0000-0000-0000ED020000}"/>
    <cellStyle name="Normal 144" xfId="851" xr:uid="{00000000-0005-0000-0000-0000EE020000}"/>
    <cellStyle name="Normal 1440" xfId="852" xr:uid="{00000000-0005-0000-0000-0000EF020000}"/>
    <cellStyle name="Normal 1441" xfId="853" xr:uid="{00000000-0005-0000-0000-0000F0020000}"/>
    <cellStyle name="Normal 1442" xfId="854" xr:uid="{00000000-0005-0000-0000-0000F1020000}"/>
    <cellStyle name="Normal 1443" xfId="855" xr:uid="{00000000-0005-0000-0000-0000F2020000}"/>
    <cellStyle name="Normal 1444" xfId="856" xr:uid="{00000000-0005-0000-0000-0000F3020000}"/>
    <cellStyle name="Normal 1445" xfId="857" xr:uid="{00000000-0005-0000-0000-0000F4020000}"/>
    <cellStyle name="Normal 1446" xfId="858" xr:uid="{00000000-0005-0000-0000-0000F5020000}"/>
    <cellStyle name="Normal 1447" xfId="859" xr:uid="{00000000-0005-0000-0000-0000F6020000}"/>
    <cellStyle name="Normal 1448" xfId="860" xr:uid="{00000000-0005-0000-0000-0000F7020000}"/>
    <cellStyle name="Normal 1449" xfId="861" xr:uid="{00000000-0005-0000-0000-0000F8020000}"/>
    <cellStyle name="Normal 145" xfId="862" xr:uid="{00000000-0005-0000-0000-0000F9020000}"/>
    <cellStyle name="Normal 1450" xfId="863" xr:uid="{00000000-0005-0000-0000-0000FA020000}"/>
    <cellStyle name="Normal 1451" xfId="864" xr:uid="{00000000-0005-0000-0000-0000FB020000}"/>
    <cellStyle name="Normal 1452" xfId="865" xr:uid="{00000000-0005-0000-0000-0000FC020000}"/>
    <cellStyle name="Normal 1453" xfId="866" xr:uid="{00000000-0005-0000-0000-0000FD020000}"/>
    <cellStyle name="Normal 1454" xfId="867" xr:uid="{00000000-0005-0000-0000-0000FE020000}"/>
    <cellStyle name="Normal 1455" xfId="868" xr:uid="{00000000-0005-0000-0000-0000FF020000}"/>
    <cellStyle name="Normal 1456" xfId="869" xr:uid="{00000000-0005-0000-0000-000000030000}"/>
    <cellStyle name="Normal 1457" xfId="870" xr:uid="{00000000-0005-0000-0000-000001030000}"/>
    <cellStyle name="Normal 1458" xfId="871" xr:uid="{00000000-0005-0000-0000-000002030000}"/>
    <cellStyle name="Normal 1459" xfId="872" xr:uid="{00000000-0005-0000-0000-000003030000}"/>
    <cellStyle name="Normal 146" xfId="873" xr:uid="{00000000-0005-0000-0000-000004030000}"/>
    <cellStyle name="Normal 1460" xfId="874" xr:uid="{00000000-0005-0000-0000-000005030000}"/>
    <cellStyle name="Normal 1461" xfId="875" xr:uid="{00000000-0005-0000-0000-000006030000}"/>
    <cellStyle name="Normal 1462" xfId="876" xr:uid="{00000000-0005-0000-0000-000007030000}"/>
    <cellStyle name="Normal 1463" xfId="877" xr:uid="{00000000-0005-0000-0000-000008030000}"/>
    <cellStyle name="Normal 1464" xfId="878" xr:uid="{00000000-0005-0000-0000-000009030000}"/>
    <cellStyle name="Normal 1465" xfId="879" xr:uid="{00000000-0005-0000-0000-00000A030000}"/>
    <cellStyle name="Normal 1466" xfId="880" xr:uid="{00000000-0005-0000-0000-00000B030000}"/>
    <cellStyle name="Normal 1467" xfId="881" xr:uid="{00000000-0005-0000-0000-00000C030000}"/>
    <cellStyle name="Normal 1468" xfId="882" xr:uid="{00000000-0005-0000-0000-00000D030000}"/>
    <cellStyle name="Normal 1469" xfId="883" xr:uid="{00000000-0005-0000-0000-00000E030000}"/>
    <cellStyle name="Normal 147" xfId="884" xr:uid="{00000000-0005-0000-0000-00000F030000}"/>
    <cellStyle name="Normal 1470" xfId="885" xr:uid="{00000000-0005-0000-0000-000010030000}"/>
    <cellStyle name="Normal 1471" xfId="886" xr:uid="{00000000-0005-0000-0000-000011030000}"/>
    <cellStyle name="Normal 1472" xfId="887" xr:uid="{00000000-0005-0000-0000-000012030000}"/>
    <cellStyle name="Normal 1473" xfId="888" xr:uid="{00000000-0005-0000-0000-000013030000}"/>
    <cellStyle name="Normal 1474" xfId="889" xr:uid="{00000000-0005-0000-0000-000014030000}"/>
    <cellStyle name="Normal 1475" xfId="890" xr:uid="{00000000-0005-0000-0000-000015030000}"/>
    <cellStyle name="Normal 1476" xfId="891" xr:uid="{00000000-0005-0000-0000-000016030000}"/>
    <cellStyle name="Normal 1477" xfId="892" xr:uid="{00000000-0005-0000-0000-000017030000}"/>
    <cellStyle name="Normal 1478" xfId="893" xr:uid="{00000000-0005-0000-0000-000018030000}"/>
    <cellStyle name="Normal 1479" xfId="894" xr:uid="{00000000-0005-0000-0000-000019030000}"/>
    <cellStyle name="Normal 148" xfId="895" xr:uid="{00000000-0005-0000-0000-00001A030000}"/>
    <cellStyle name="Normal 1480" xfId="896" xr:uid="{00000000-0005-0000-0000-00001B030000}"/>
    <cellStyle name="Normal 1481" xfId="897" xr:uid="{00000000-0005-0000-0000-00001C030000}"/>
    <cellStyle name="Normal 1482" xfId="898" xr:uid="{00000000-0005-0000-0000-00001D030000}"/>
    <cellStyle name="Normal 1483" xfId="899" xr:uid="{00000000-0005-0000-0000-00001E030000}"/>
    <cellStyle name="Normal 1484" xfId="900" xr:uid="{00000000-0005-0000-0000-00001F030000}"/>
    <cellStyle name="Normal 1485" xfId="901" xr:uid="{00000000-0005-0000-0000-000020030000}"/>
    <cellStyle name="Normal 1486" xfId="902" xr:uid="{00000000-0005-0000-0000-000021030000}"/>
    <cellStyle name="Normal 1487" xfId="903" xr:uid="{00000000-0005-0000-0000-000022030000}"/>
    <cellStyle name="Normal 1488" xfId="904" xr:uid="{00000000-0005-0000-0000-000023030000}"/>
    <cellStyle name="Normal 1489" xfId="905" xr:uid="{00000000-0005-0000-0000-000024030000}"/>
    <cellStyle name="Normal 149" xfId="906" xr:uid="{00000000-0005-0000-0000-000025030000}"/>
    <cellStyle name="Normal 1490" xfId="907" xr:uid="{00000000-0005-0000-0000-000026030000}"/>
    <cellStyle name="Normal 1491" xfId="908" xr:uid="{00000000-0005-0000-0000-000027030000}"/>
    <cellStyle name="Normal 1492" xfId="909" xr:uid="{00000000-0005-0000-0000-000028030000}"/>
    <cellStyle name="Normal 1493" xfId="910" xr:uid="{00000000-0005-0000-0000-000029030000}"/>
    <cellStyle name="Normal 1494" xfId="911" xr:uid="{00000000-0005-0000-0000-00002A030000}"/>
    <cellStyle name="Normal 1495" xfId="912" xr:uid="{00000000-0005-0000-0000-00002B030000}"/>
    <cellStyle name="Normal 1496" xfId="913" xr:uid="{00000000-0005-0000-0000-00002C030000}"/>
    <cellStyle name="Normal 1497" xfId="914" xr:uid="{00000000-0005-0000-0000-00002D030000}"/>
    <cellStyle name="Normal 1498" xfId="915" xr:uid="{00000000-0005-0000-0000-00002E030000}"/>
    <cellStyle name="Normal 1499" xfId="916" xr:uid="{00000000-0005-0000-0000-00002F030000}"/>
    <cellStyle name="Normal 15" xfId="25" xr:uid="{00000000-0005-0000-0000-000030030000}"/>
    <cellStyle name="Normal 15 2" xfId="76" xr:uid="{00000000-0005-0000-0000-000031030000}"/>
    <cellStyle name="Normal 15 2 2" xfId="917" xr:uid="{00000000-0005-0000-0000-000032030000}"/>
    <cellStyle name="Normal 15 2 3" xfId="918" xr:uid="{00000000-0005-0000-0000-000033030000}"/>
    <cellStyle name="Normal 15 2 4" xfId="919" xr:uid="{00000000-0005-0000-0000-000034030000}"/>
    <cellStyle name="Normal 15 3" xfId="152" xr:uid="{00000000-0005-0000-0000-000035030000}"/>
    <cellStyle name="Normal 15 3 2" xfId="920" xr:uid="{00000000-0005-0000-0000-000036030000}"/>
    <cellStyle name="Normal 15 3 3" xfId="921" xr:uid="{00000000-0005-0000-0000-000037030000}"/>
    <cellStyle name="Normal 15 3 4" xfId="922" xr:uid="{00000000-0005-0000-0000-000038030000}"/>
    <cellStyle name="Normal 15 4" xfId="923" xr:uid="{00000000-0005-0000-0000-000039030000}"/>
    <cellStyle name="Normal 15 5" xfId="924" xr:uid="{00000000-0005-0000-0000-00003A030000}"/>
    <cellStyle name="Normal 15 6" xfId="925" xr:uid="{00000000-0005-0000-0000-00003B030000}"/>
    <cellStyle name="Normal 15 7" xfId="926" xr:uid="{00000000-0005-0000-0000-00003C030000}"/>
    <cellStyle name="Normal 15_Sheet1" xfId="59" xr:uid="{00000000-0005-0000-0000-00003D030000}"/>
    <cellStyle name="Normal 150" xfId="927" xr:uid="{00000000-0005-0000-0000-00003E030000}"/>
    <cellStyle name="Normal 1500" xfId="928" xr:uid="{00000000-0005-0000-0000-00003F030000}"/>
    <cellStyle name="Normal 1501" xfId="929" xr:uid="{00000000-0005-0000-0000-000040030000}"/>
    <cellStyle name="Normal 1502" xfId="930" xr:uid="{00000000-0005-0000-0000-000041030000}"/>
    <cellStyle name="Normal 1503" xfId="931" xr:uid="{00000000-0005-0000-0000-000042030000}"/>
    <cellStyle name="Normal 1504" xfId="932" xr:uid="{00000000-0005-0000-0000-000043030000}"/>
    <cellStyle name="Normal 1505" xfId="933" xr:uid="{00000000-0005-0000-0000-000044030000}"/>
    <cellStyle name="Normal 1506" xfId="934" xr:uid="{00000000-0005-0000-0000-000045030000}"/>
    <cellStyle name="Normal 1507" xfId="935" xr:uid="{00000000-0005-0000-0000-000046030000}"/>
    <cellStyle name="Normal 1508" xfId="936" xr:uid="{00000000-0005-0000-0000-000047030000}"/>
    <cellStyle name="Normal 1509" xfId="937" xr:uid="{00000000-0005-0000-0000-000048030000}"/>
    <cellStyle name="Normal 151" xfId="938" xr:uid="{00000000-0005-0000-0000-000049030000}"/>
    <cellStyle name="Normal 1510" xfId="939" xr:uid="{00000000-0005-0000-0000-00004A030000}"/>
    <cellStyle name="Normal 1511" xfId="940" xr:uid="{00000000-0005-0000-0000-00004B030000}"/>
    <cellStyle name="Normal 1512" xfId="941" xr:uid="{00000000-0005-0000-0000-00004C030000}"/>
    <cellStyle name="Normal 1513" xfId="942" xr:uid="{00000000-0005-0000-0000-00004D030000}"/>
    <cellStyle name="Normal 1514" xfId="943" xr:uid="{00000000-0005-0000-0000-00004E030000}"/>
    <cellStyle name="Normal 1515" xfId="944" xr:uid="{00000000-0005-0000-0000-00004F030000}"/>
    <cellStyle name="Normal 1516" xfId="945" xr:uid="{00000000-0005-0000-0000-000050030000}"/>
    <cellStyle name="Normal 1517" xfId="946" xr:uid="{00000000-0005-0000-0000-000051030000}"/>
    <cellStyle name="Normal 1518" xfId="947" xr:uid="{00000000-0005-0000-0000-000052030000}"/>
    <cellStyle name="Normal 1519" xfId="948" xr:uid="{00000000-0005-0000-0000-000053030000}"/>
    <cellStyle name="Normal 152" xfId="949" xr:uid="{00000000-0005-0000-0000-000054030000}"/>
    <cellStyle name="Normal 1520" xfId="950" xr:uid="{00000000-0005-0000-0000-000055030000}"/>
    <cellStyle name="Normal 1521" xfId="951" xr:uid="{00000000-0005-0000-0000-000056030000}"/>
    <cellStyle name="Normal 1522" xfId="952" xr:uid="{00000000-0005-0000-0000-000057030000}"/>
    <cellStyle name="Normal 1523" xfId="953" xr:uid="{00000000-0005-0000-0000-000058030000}"/>
    <cellStyle name="Normal 1524" xfId="954" xr:uid="{00000000-0005-0000-0000-000059030000}"/>
    <cellStyle name="Normal 1525" xfId="955" xr:uid="{00000000-0005-0000-0000-00005A030000}"/>
    <cellStyle name="Normal 1526" xfId="956" xr:uid="{00000000-0005-0000-0000-00005B030000}"/>
    <cellStyle name="Normal 1527" xfId="957" xr:uid="{00000000-0005-0000-0000-00005C030000}"/>
    <cellStyle name="Normal 1528" xfId="958" xr:uid="{00000000-0005-0000-0000-00005D030000}"/>
    <cellStyle name="Normal 1529" xfId="959" xr:uid="{00000000-0005-0000-0000-00005E030000}"/>
    <cellStyle name="Normal 153" xfId="960" xr:uid="{00000000-0005-0000-0000-00005F030000}"/>
    <cellStyle name="Normal 1530" xfId="961" xr:uid="{00000000-0005-0000-0000-000060030000}"/>
    <cellStyle name="Normal 1531" xfId="962" xr:uid="{00000000-0005-0000-0000-000061030000}"/>
    <cellStyle name="Normal 1532" xfId="963" xr:uid="{00000000-0005-0000-0000-000062030000}"/>
    <cellStyle name="Normal 1533" xfId="964" xr:uid="{00000000-0005-0000-0000-000063030000}"/>
    <cellStyle name="Normal 1534" xfId="965" xr:uid="{00000000-0005-0000-0000-000064030000}"/>
    <cellStyle name="Normal 1535" xfId="966" xr:uid="{00000000-0005-0000-0000-000065030000}"/>
    <cellStyle name="Normal 1536" xfId="967" xr:uid="{00000000-0005-0000-0000-000066030000}"/>
    <cellStyle name="Normal 1537" xfId="968" xr:uid="{00000000-0005-0000-0000-000067030000}"/>
    <cellStyle name="Normal 1538" xfId="969" xr:uid="{00000000-0005-0000-0000-000068030000}"/>
    <cellStyle name="Normal 1539" xfId="970" xr:uid="{00000000-0005-0000-0000-000069030000}"/>
    <cellStyle name="Normal 154" xfId="971" xr:uid="{00000000-0005-0000-0000-00006A030000}"/>
    <cellStyle name="Normal 1540" xfId="972" xr:uid="{00000000-0005-0000-0000-00006B030000}"/>
    <cellStyle name="Normal 1541" xfId="973" xr:uid="{00000000-0005-0000-0000-00006C030000}"/>
    <cellStyle name="Normal 1542" xfId="974" xr:uid="{00000000-0005-0000-0000-00006D030000}"/>
    <cellStyle name="Normal 1543" xfId="975" xr:uid="{00000000-0005-0000-0000-00006E030000}"/>
    <cellStyle name="Normal 1544" xfId="976" xr:uid="{00000000-0005-0000-0000-00006F030000}"/>
    <cellStyle name="Normal 1545" xfId="977" xr:uid="{00000000-0005-0000-0000-000070030000}"/>
    <cellStyle name="Normal 1546" xfId="978" xr:uid="{00000000-0005-0000-0000-000071030000}"/>
    <cellStyle name="Normal 1547" xfId="979" xr:uid="{00000000-0005-0000-0000-000072030000}"/>
    <cellStyle name="Normal 1548" xfId="980" xr:uid="{00000000-0005-0000-0000-000073030000}"/>
    <cellStyle name="Normal 1549" xfId="981" xr:uid="{00000000-0005-0000-0000-000074030000}"/>
    <cellStyle name="Normal 155" xfId="982" xr:uid="{00000000-0005-0000-0000-000075030000}"/>
    <cellStyle name="Normal 1550" xfId="983" xr:uid="{00000000-0005-0000-0000-000076030000}"/>
    <cellStyle name="Normal 1551" xfId="984" xr:uid="{00000000-0005-0000-0000-000077030000}"/>
    <cellStyle name="Normal 1552" xfId="985" xr:uid="{00000000-0005-0000-0000-000078030000}"/>
    <cellStyle name="Normal 1553" xfId="986" xr:uid="{00000000-0005-0000-0000-000079030000}"/>
    <cellStyle name="Normal 1554" xfId="987" xr:uid="{00000000-0005-0000-0000-00007A030000}"/>
    <cellStyle name="Normal 1555" xfId="988" xr:uid="{00000000-0005-0000-0000-00007B030000}"/>
    <cellStyle name="Normal 1556" xfId="989" xr:uid="{00000000-0005-0000-0000-00007C030000}"/>
    <cellStyle name="Normal 1557" xfId="990" xr:uid="{00000000-0005-0000-0000-00007D030000}"/>
    <cellStyle name="Normal 1558" xfId="991" xr:uid="{00000000-0005-0000-0000-00007E030000}"/>
    <cellStyle name="Normal 1559" xfId="992" xr:uid="{00000000-0005-0000-0000-00007F030000}"/>
    <cellStyle name="Normal 156" xfId="993" xr:uid="{00000000-0005-0000-0000-000080030000}"/>
    <cellStyle name="Normal 1560" xfId="994" xr:uid="{00000000-0005-0000-0000-000081030000}"/>
    <cellStyle name="Normal 1561" xfId="995" xr:uid="{00000000-0005-0000-0000-000082030000}"/>
    <cellStyle name="Normal 1562" xfId="996" xr:uid="{00000000-0005-0000-0000-000083030000}"/>
    <cellStyle name="Normal 1563" xfId="997" xr:uid="{00000000-0005-0000-0000-000084030000}"/>
    <cellStyle name="Normal 1564" xfId="998" xr:uid="{00000000-0005-0000-0000-000085030000}"/>
    <cellStyle name="Normal 1565" xfId="999" xr:uid="{00000000-0005-0000-0000-000086030000}"/>
    <cellStyle name="Normal 1566" xfId="1000" xr:uid="{00000000-0005-0000-0000-000087030000}"/>
    <cellStyle name="Normal 1567" xfId="1001" xr:uid="{00000000-0005-0000-0000-000088030000}"/>
    <cellStyle name="Normal 1568" xfId="1002" xr:uid="{00000000-0005-0000-0000-000089030000}"/>
    <cellStyle name="Normal 1569" xfId="1003" xr:uid="{00000000-0005-0000-0000-00008A030000}"/>
    <cellStyle name="Normal 157" xfId="1004" xr:uid="{00000000-0005-0000-0000-00008B030000}"/>
    <cellStyle name="Normal 1570" xfId="1005" xr:uid="{00000000-0005-0000-0000-00008C030000}"/>
    <cellStyle name="Normal 1571" xfId="1006" xr:uid="{00000000-0005-0000-0000-00008D030000}"/>
    <cellStyle name="Normal 1572" xfId="1007" xr:uid="{00000000-0005-0000-0000-00008E030000}"/>
    <cellStyle name="Normal 1573" xfId="1008" xr:uid="{00000000-0005-0000-0000-00008F030000}"/>
    <cellStyle name="Normal 1574" xfId="1009" xr:uid="{00000000-0005-0000-0000-000090030000}"/>
    <cellStyle name="Normal 1575" xfId="1010" xr:uid="{00000000-0005-0000-0000-000091030000}"/>
    <cellStyle name="Normal 1576" xfId="1011" xr:uid="{00000000-0005-0000-0000-000092030000}"/>
    <cellStyle name="Normal 1577" xfId="1012" xr:uid="{00000000-0005-0000-0000-000093030000}"/>
    <cellStyle name="Normal 1578" xfId="1013" xr:uid="{00000000-0005-0000-0000-000094030000}"/>
    <cellStyle name="Normal 1579" xfId="1014" xr:uid="{00000000-0005-0000-0000-000095030000}"/>
    <cellStyle name="Normal 158" xfId="1015" xr:uid="{00000000-0005-0000-0000-000096030000}"/>
    <cellStyle name="Normal 1580" xfId="1016" xr:uid="{00000000-0005-0000-0000-000097030000}"/>
    <cellStyle name="Normal 1581" xfId="1017" xr:uid="{00000000-0005-0000-0000-000098030000}"/>
    <cellStyle name="Normal 1582" xfId="1018" xr:uid="{00000000-0005-0000-0000-000099030000}"/>
    <cellStyle name="Normal 1583" xfId="1019" xr:uid="{00000000-0005-0000-0000-00009A030000}"/>
    <cellStyle name="Normal 1584" xfId="1020" xr:uid="{00000000-0005-0000-0000-00009B030000}"/>
    <cellStyle name="Normal 1585" xfId="1021" xr:uid="{00000000-0005-0000-0000-00009C030000}"/>
    <cellStyle name="Normal 1586" xfId="1022" xr:uid="{00000000-0005-0000-0000-00009D030000}"/>
    <cellStyle name="Normal 1587" xfId="1023" xr:uid="{00000000-0005-0000-0000-00009E030000}"/>
    <cellStyle name="Normal 1588" xfId="1024" xr:uid="{00000000-0005-0000-0000-00009F030000}"/>
    <cellStyle name="Normal 1589" xfId="1025" xr:uid="{00000000-0005-0000-0000-0000A0030000}"/>
    <cellStyle name="Normal 159" xfId="1026" xr:uid="{00000000-0005-0000-0000-0000A1030000}"/>
    <cellStyle name="Normal 1590" xfId="1027" xr:uid="{00000000-0005-0000-0000-0000A2030000}"/>
    <cellStyle name="Normal 1591" xfId="1028" xr:uid="{00000000-0005-0000-0000-0000A3030000}"/>
    <cellStyle name="Normal 1592" xfId="1029" xr:uid="{00000000-0005-0000-0000-0000A4030000}"/>
    <cellStyle name="Normal 1593" xfId="1030" xr:uid="{00000000-0005-0000-0000-0000A5030000}"/>
    <cellStyle name="Normal 1594" xfId="1031" xr:uid="{00000000-0005-0000-0000-0000A6030000}"/>
    <cellStyle name="Normal 1595" xfId="1032" xr:uid="{00000000-0005-0000-0000-0000A7030000}"/>
    <cellStyle name="Normal 1596" xfId="1033" xr:uid="{00000000-0005-0000-0000-0000A8030000}"/>
    <cellStyle name="Normal 1597" xfId="1034" xr:uid="{00000000-0005-0000-0000-0000A9030000}"/>
    <cellStyle name="Normal 1598" xfId="1035" xr:uid="{00000000-0005-0000-0000-0000AA030000}"/>
    <cellStyle name="Normal 1599" xfId="1036" xr:uid="{00000000-0005-0000-0000-0000AB030000}"/>
    <cellStyle name="Normal 16" xfId="26" xr:uid="{00000000-0005-0000-0000-0000AC030000}"/>
    <cellStyle name="Normal 16 2" xfId="27" xr:uid="{00000000-0005-0000-0000-0000AD030000}"/>
    <cellStyle name="Normal 16 2 2" xfId="78" xr:uid="{00000000-0005-0000-0000-0000AE030000}"/>
    <cellStyle name="Normal 16 2 2 2" xfId="1037" xr:uid="{00000000-0005-0000-0000-0000AF030000}"/>
    <cellStyle name="Normal 16 2 2 3" xfId="1038" xr:uid="{00000000-0005-0000-0000-0000B0030000}"/>
    <cellStyle name="Normal 16 2 2 4" xfId="1039" xr:uid="{00000000-0005-0000-0000-0000B1030000}"/>
    <cellStyle name="Normal 16 2 3" xfId="154" xr:uid="{00000000-0005-0000-0000-0000B2030000}"/>
    <cellStyle name="Normal 16 2 3 2" xfId="1040" xr:uid="{00000000-0005-0000-0000-0000B3030000}"/>
    <cellStyle name="Normal 16 2 3 3" xfId="1041" xr:uid="{00000000-0005-0000-0000-0000B4030000}"/>
    <cellStyle name="Normal 16 2 3 4" xfId="1042" xr:uid="{00000000-0005-0000-0000-0000B5030000}"/>
    <cellStyle name="Normal 16 2 4" xfId="1043" xr:uid="{00000000-0005-0000-0000-0000B6030000}"/>
    <cellStyle name="Normal 16 2 5" xfId="1044" xr:uid="{00000000-0005-0000-0000-0000B7030000}"/>
    <cellStyle name="Normal 16 2 6" xfId="1045" xr:uid="{00000000-0005-0000-0000-0000B8030000}"/>
    <cellStyle name="Normal 16 2 7" xfId="1046" xr:uid="{00000000-0005-0000-0000-0000B9030000}"/>
    <cellStyle name="Normal 16 2_Sheet1" xfId="126" xr:uid="{00000000-0005-0000-0000-0000BA030000}"/>
    <cellStyle name="Normal 16 3" xfId="70" xr:uid="{00000000-0005-0000-0000-0000BB030000}"/>
    <cellStyle name="Normal 16 3 2" xfId="1047" xr:uid="{00000000-0005-0000-0000-0000BC030000}"/>
    <cellStyle name="Normal 16 3 3" xfId="1048" xr:uid="{00000000-0005-0000-0000-0000BD030000}"/>
    <cellStyle name="Normal 16 3 4" xfId="1049" xr:uid="{00000000-0005-0000-0000-0000BE030000}"/>
    <cellStyle name="Normal 16 4" xfId="146" xr:uid="{00000000-0005-0000-0000-0000BF030000}"/>
    <cellStyle name="Normal 16 4 2" xfId="1050" xr:uid="{00000000-0005-0000-0000-0000C0030000}"/>
    <cellStyle name="Normal 16 4 3" xfId="1051" xr:uid="{00000000-0005-0000-0000-0000C1030000}"/>
    <cellStyle name="Normal 16 4 4" xfId="1052" xr:uid="{00000000-0005-0000-0000-0000C2030000}"/>
    <cellStyle name="Normal 16 5" xfId="1053" xr:uid="{00000000-0005-0000-0000-0000C3030000}"/>
    <cellStyle name="Normal 16 6" xfId="1054" xr:uid="{00000000-0005-0000-0000-0000C4030000}"/>
    <cellStyle name="Normal 16 7" xfId="1055" xr:uid="{00000000-0005-0000-0000-0000C5030000}"/>
    <cellStyle name="Normal 16 8" xfId="1056" xr:uid="{00000000-0005-0000-0000-0000C6030000}"/>
    <cellStyle name="Normal 16_Sheet1" xfId="102" xr:uid="{00000000-0005-0000-0000-0000C7030000}"/>
    <cellStyle name="Normal 160" xfId="1057" xr:uid="{00000000-0005-0000-0000-0000C8030000}"/>
    <cellStyle name="Normal 1600" xfId="1058" xr:uid="{00000000-0005-0000-0000-0000C9030000}"/>
    <cellStyle name="Normal 1601" xfId="1059" xr:uid="{00000000-0005-0000-0000-0000CA030000}"/>
    <cellStyle name="Normal 1602" xfId="1060" xr:uid="{00000000-0005-0000-0000-0000CB030000}"/>
    <cellStyle name="Normal 1603" xfId="1061" xr:uid="{00000000-0005-0000-0000-0000CC030000}"/>
    <cellStyle name="Normal 1604" xfId="1062" xr:uid="{00000000-0005-0000-0000-0000CD030000}"/>
    <cellStyle name="Normal 1605" xfId="1063" xr:uid="{00000000-0005-0000-0000-0000CE030000}"/>
    <cellStyle name="Normal 1606" xfId="1064" xr:uid="{00000000-0005-0000-0000-0000CF030000}"/>
    <cellStyle name="Normal 1607" xfId="1065" xr:uid="{00000000-0005-0000-0000-0000D0030000}"/>
    <cellStyle name="Normal 1608" xfId="1066" xr:uid="{00000000-0005-0000-0000-0000D1030000}"/>
    <cellStyle name="Normal 1609" xfId="1067" xr:uid="{00000000-0005-0000-0000-0000D2030000}"/>
    <cellStyle name="Normal 161" xfId="1068" xr:uid="{00000000-0005-0000-0000-0000D3030000}"/>
    <cellStyle name="Normal 1610" xfId="1069" xr:uid="{00000000-0005-0000-0000-0000D4030000}"/>
    <cellStyle name="Normal 1611" xfId="1070" xr:uid="{00000000-0005-0000-0000-0000D5030000}"/>
    <cellStyle name="Normal 1612" xfId="1071" xr:uid="{00000000-0005-0000-0000-0000D6030000}"/>
    <cellStyle name="Normal 1613" xfId="1072" xr:uid="{00000000-0005-0000-0000-0000D7030000}"/>
    <cellStyle name="Normal 1614" xfId="1073" xr:uid="{00000000-0005-0000-0000-0000D8030000}"/>
    <cellStyle name="Normal 1615" xfId="1074" xr:uid="{00000000-0005-0000-0000-0000D9030000}"/>
    <cellStyle name="Normal 1616" xfId="1075" xr:uid="{00000000-0005-0000-0000-0000DA030000}"/>
    <cellStyle name="Normal 1617" xfId="1076" xr:uid="{00000000-0005-0000-0000-0000DB030000}"/>
    <cellStyle name="Normal 1618" xfId="1077" xr:uid="{00000000-0005-0000-0000-0000DC030000}"/>
    <cellStyle name="Normal 1619" xfId="1078" xr:uid="{00000000-0005-0000-0000-0000DD030000}"/>
    <cellStyle name="Normal 162" xfId="1079" xr:uid="{00000000-0005-0000-0000-0000DE030000}"/>
    <cellStyle name="Normal 1620" xfId="1080" xr:uid="{00000000-0005-0000-0000-0000DF030000}"/>
    <cellStyle name="Normal 1621" xfId="1081" xr:uid="{00000000-0005-0000-0000-0000E0030000}"/>
    <cellStyle name="Normal 1622" xfId="1082" xr:uid="{00000000-0005-0000-0000-0000E1030000}"/>
    <cellStyle name="Normal 1623" xfId="1083" xr:uid="{00000000-0005-0000-0000-0000E2030000}"/>
    <cellStyle name="Normal 1624" xfId="1084" xr:uid="{00000000-0005-0000-0000-0000E3030000}"/>
    <cellStyle name="Normal 1625" xfId="1085" xr:uid="{00000000-0005-0000-0000-0000E4030000}"/>
    <cellStyle name="Normal 1626" xfId="1086" xr:uid="{00000000-0005-0000-0000-0000E5030000}"/>
    <cellStyle name="Normal 1627" xfId="1087" xr:uid="{00000000-0005-0000-0000-0000E6030000}"/>
    <cellStyle name="Normal 1628" xfId="1088" xr:uid="{00000000-0005-0000-0000-0000E7030000}"/>
    <cellStyle name="Normal 1629" xfId="1089" xr:uid="{00000000-0005-0000-0000-0000E8030000}"/>
    <cellStyle name="Normal 163" xfId="1090" xr:uid="{00000000-0005-0000-0000-0000E9030000}"/>
    <cellStyle name="Normal 1630" xfId="1091" xr:uid="{00000000-0005-0000-0000-0000EA030000}"/>
    <cellStyle name="Normal 1631" xfId="1092" xr:uid="{00000000-0005-0000-0000-0000EB030000}"/>
    <cellStyle name="Normal 1632" xfId="1093" xr:uid="{00000000-0005-0000-0000-0000EC030000}"/>
    <cellStyle name="Normal 1633" xfId="1094" xr:uid="{00000000-0005-0000-0000-0000ED030000}"/>
    <cellStyle name="Normal 1634" xfId="1095" xr:uid="{00000000-0005-0000-0000-0000EE030000}"/>
    <cellStyle name="Normal 1635" xfId="1096" xr:uid="{00000000-0005-0000-0000-0000EF030000}"/>
    <cellStyle name="Normal 1636" xfId="1097" xr:uid="{00000000-0005-0000-0000-0000F0030000}"/>
    <cellStyle name="Normal 1637" xfId="1098" xr:uid="{00000000-0005-0000-0000-0000F1030000}"/>
    <cellStyle name="Normal 1638" xfId="1099" xr:uid="{00000000-0005-0000-0000-0000F2030000}"/>
    <cellStyle name="Normal 1639" xfId="1100" xr:uid="{00000000-0005-0000-0000-0000F3030000}"/>
    <cellStyle name="Normal 164" xfId="1101" xr:uid="{00000000-0005-0000-0000-0000F4030000}"/>
    <cellStyle name="Normal 1640" xfId="1102" xr:uid="{00000000-0005-0000-0000-0000F5030000}"/>
    <cellStyle name="Normal 1641" xfId="1103" xr:uid="{00000000-0005-0000-0000-0000F6030000}"/>
    <cellStyle name="Normal 1642" xfId="1104" xr:uid="{00000000-0005-0000-0000-0000F7030000}"/>
    <cellStyle name="Normal 1643" xfId="1105" xr:uid="{00000000-0005-0000-0000-0000F8030000}"/>
    <cellStyle name="Normal 1644" xfId="1106" xr:uid="{00000000-0005-0000-0000-0000F9030000}"/>
    <cellStyle name="Normal 1644 2" xfId="1107" xr:uid="{00000000-0005-0000-0000-0000FA030000}"/>
    <cellStyle name="Normal 1645" xfId="1108" xr:uid="{00000000-0005-0000-0000-0000FB030000}"/>
    <cellStyle name="Normal 1646" xfId="1109" xr:uid="{00000000-0005-0000-0000-0000FC030000}"/>
    <cellStyle name="Normal 1647" xfId="1110" xr:uid="{00000000-0005-0000-0000-0000FD030000}"/>
    <cellStyle name="Normal 1648" xfId="1111" xr:uid="{00000000-0005-0000-0000-0000FE030000}"/>
    <cellStyle name="Normal 1649" xfId="1112" xr:uid="{00000000-0005-0000-0000-0000FF030000}"/>
    <cellStyle name="Normal 165" xfId="1113" xr:uid="{00000000-0005-0000-0000-000000040000}"/>
    <cellStyle name="Normal 1650" xfId="1114" xr:uid="{00000000-0005-0000-0000-000001040000}"/>
    <cellStyle name="Normal 1651" xfId="1115" xr:uid="{00000000-0005-0000-0000-000002040000}"/>
    <cellStyle name="Normal 1652" xfId="1116" xr:uid="{00000000-0005-0000-0000-000003040000}"/>
    <cellStyle name="Normal 1653" xfId="1117" xr:uid="{00000000-0005-0000-0000-000004040000}"/>
    <cellStyle name="Normal 1654" xfId="1118" xr:uid="{00000000-0005-0000-0000-000005040000}"/>
    <cellStyle name="Normal 1655" xfId="1119" xr:uid="{00000000-0005-0000-0000-000006040000}"/>
    <cellStyle name="Normal 1656" xfId="1120" xr:uid="{00000000-0005-0000-0000-000007040000}"/>
    <cellStyle name="Normal 1657" xfId="1121" xr:uid="{00000000-0005-0000-0000-000008040000}"/>
    <cellStyle name="Normal 1658" xfId="1122" xr:uid="{00000000-0005-0000-0000-000009040000}"/>
    <cellStyle name="Normal 1659" xfId="1123" xr:uid="{00000000-0005-0000-0000-00000A040000}"/>
    <cellStyle name="Normal 166" xfId="1124" xr:uid="{00000000-0005-0000-0000-00000B040000}"/>
    <cellStyle name="Normal 1660" xfId="1125" xr:uid="{00000000-0005-0000-0000-00000C040000}"/>
    <cellStyle name="Normal 1661" xfId="1126" xr:uid="{00000000-0005-0000-0000-00000D040000}"/>
    <cellStyle name="Normal 1662" xfId="1127" xr:uid="{00000000-0005-0000-0000-00000E040000}"/>
    <cellStyle name="Normal 1663" xfId="1128" xr:uid="{00000000-0005-0000-0000-00000F040000}"/>
    <cellStyle name="Normal 1664" xfId="1129" xr:uid="{00000000-0005-0000-0000-000010040000}"/>
    <cellStyle name="Normal 1665" xfId="1130" xr:uid="{00000000-0005-0000-0000-000011040000}"/>
    <cellStyle name="Normal 1666" xfId="1131" xr:uid="{00000000-0005-0000-0000-000012040000}"/>
    <cellStyle name="Normal 1667" xfId="1132" xr:uid="{00000000-0005-0000-0000-000013040000}"/>
    <cellStyle name="Normal 1668" xfId="1133" xr:uid="{00000000-0005-0000-0000-000014040000}"/>
    <cellStyle name="Normal 1669" xfId="1134" xr:uid="{00000000-0005-0000-0000-000015040000}"/>
    <cellStyle name="Normal 167" xfId="1135" xr:uid="{00000000-0005-0000-0000-000016040000}"/>
    <cellStyle name="Normal 1670" xfId="1136" xr:uid="{00000000-0005-0000-0000-000017040000}"/>
    <cellStyle name="Normal 1671" xfId="1137" xr:uid="{00000000-0005-0000-0000-000018040000}"/>
    <cellStyle name="Normal 1672" xfId="1138" xr:uid="{00000000-0005-0000-0000-000019040000}"/>
    <cellStyle name="Normal 1673" xfId="1139" xr:uid="{00000000-0005-0000-0000-00001A040000}"/>
    <cellStyle name="Normal 1674" xfId="1140" xr:uid="{00000000-0005-0000-0000-00001B040000}"/>
    <cellStyle name="Normal 1675" xfId="1141" xr:uid="{00000000-0005-0000-0000-00001C040000}"/>
    <cellStyle name="Normal 1676" xfId="1142" xr:uid="{00000000-0005-0000-0000-00001D040000}"/>
    <cellStyle name="Normal 1677" xfId="1143" xr:uid="{00000000-0005-0000-0000-00001E040000}"/>
    <cellStyle name="Normal 1678" xfId="1144" xr:uid="{00000000-0005-0000-0000-00001F040000}"/>
    <cellStyle name="Normal 1679" xfId="1145" xr:uid="{00000000-0005-0000-0000-000020040000}"/>
    <cellStyle name="Normal 168" xfId="1146" xr:uid="{00000000-0005-0000-0000-000021040000}"/>
    <cellStyle name="Normal 1680" xfId="1147" xr:uid="{00000000-0005-0000-0000-000022040000}"/>
    <cellStyle name="Normal 1681" xfId="1148" xr:uid="{00000000-0005-0000-0000-000023040000}"/>
    <cellStyle name="Normal 1682" xfId="1149" xr:uid="{00000000-0005-0000-0000-000024040000}"/>
    <cellStyle name="Normal 1683" xfId="1150" xr:uid="{00000000-0005-0000-0000-000025040000}"/>
    <cellStyle name="Normal 1684" xfId="1151" xr:uid="{00000000-0005-0000-0000-000026040000}"/>
    <cellStyle name="Normal 1685" xfId="1152" xr:uid="{00000000-0005-0000-0000-000027040000}"/>
    <cellStyle name="Normal 1686" xfId="1153" xr:uid="{00000000-0005-0000-0000-000028040000}"/>
    <cellStyle name="Normal 1687" xfId="1154" xr:uid="{00000000-0005-0000-0000-000029040000}"/>
    <cellStyle name="Normal 1688" xfId="1155" xr:uid="{00000000-0005-0000-0000-00002A040000}"/>
    <cellStyle name="Normal 1689" xfId="1156" xr:uid="{00000000-0005-0000-0000-00002B040000}"/>
    <cellStyle name="Normal 169" xfId="1157" xr:uid="{00000000-0005-0000-0000-00002C040000}"/>
    <cellStyle name="Normal 1690" xfId="1158" xr:uid="{00000000-0005-0000-0000-00002D040000}"/>
    <cellStyle name="Normal 1691" xfId="1159" xr:uid="{00000000-0005-0000-0000-00002E040000}"/>
    <cellStyle name="Normal 1692" xfId="1160" xr:uid="{00000000-0005-0000-0000-00002F040000}"/>
    <cellStyle name="Normal 1693" xfId="1161" xr:uid="{00000000-0005-0000-0000-000030040000}"/>
    <cellStyle name="Normal 1694" xfId="1162" xr:uid="{00000000-0005-0000-0000-000031040000}"/>
    <cellStyle name="Normal 1695" xfId="1163" xr:uid="{00000000-0005-0000-0000-000032040000}"/>
    <cellStyle name="Normal 1696" xfId="1164" xr:uid="{00000000-0005-0000-0000-000033040000}"/>
    <cellStyle name="Normal 1697" xfId="1165" xr:uid="{00000000-0005-0000-0000-000034040000}"/>
    <cellStyle name="Normal 1698" xfId="1166" xr:uid="{00000000-0005-0000-0000-000035040000}"/>
    <cellStyle name="Normal 1699" xfId="1167" xr:uid="{00000000-0005-0000-0000-000036040000}"/>
    <cellStyle name="Normal 17" xfId="28" xr:uid="{00000000-0005-0000-0000-000037040000}"/>
    <cellStyle name="Normal 17 2" xfId="82" xr:uid="{00000000-0005-0000-0000-000038040000}"/>
    <cellStyle name="Normal 17 2 2" xfId="1168" xr:uid="{00000000-0005-0000-0000-000039040000}"/>
    <cellStyle name="Normal 17 2 3" xfId="1169" xr:uid="{00000000-0005-0000-0000-00003A040000}"/>
    <cellStyle name="Normal 17 2 4" xfId="1170" xr:uid="{00000000-0005-0000-0000-00003B040000}"/>
    <cellStyle name="Normal 17 3" xfId="158" xr:uid="{00000000-0005-0000-0000-00003C040000}"/>
    <cellStyle name="Normal 17 3 2" xfId="1171" xr:uid="{00000000-0005-0000-0000-00003D040000}"/>
    <cellStyle name="Normal 17 3 3" xfId="1172" xr:uid="{00000000-0005-0000-0000-00003E040000}"/>
    <cellStyle name="Normal 17 3 4" xfId="1173" xr:uid="{00000000-0005-0000-0000-00003F040000}"/>
    <cellStyle name="Normal 17 4" xfId="1174" xr:uid="{00000000-0005-0000-0000-000040040000}"/>
    <cellStyle name="Normal 17 5" xfId="1175" xr:uid="{00000000-0005-0000-0000-000041040000}"/>
    <cellStyle name="Normal 17 6" xfId="1176" xr:uid="{00000000-0005-0000-0000-000042040000}"/>
    <cellStyle name="Normal 17 7" xfId="1177" xr:uid="{00000000-0005-0000-0000-000043040000}"/>
    <cellStyle name="Normal 17_Sheet1" xfId="115" xr:uid="{00000000-0005-0000-0000-000044040000}"/>
    <cellStyle name="Normal 170" xfId="1178" xr:uid="{00000000-0005-0000-0000-000045040000}"/>
    <cellStyle name="Normal 1700" xfId="1179" xr:uid="{00000000-0005-0000-0000-000046040000}"/>
    <cellStyle name="Normal 1701" xfId="1180" xr:uid="{00000000-0005-0000-0000-000047040000}"/>
    <cellStyle name="Normal 1702" xfId="1181" xr:uid="{00000000-0005-0000-0000-000048040000}"/>
    <cellStyle name="Normal 1703" xfId="1182" xr:uid="{00000000-0005-0000-0000-000049040000}"/>
    <cellStyle name="Normal 1704" xfId="1183" xr:uid="{00000000-0005-0000-0000-00004A040000}"/>
    <cellStyle name="Normal 1705" xfId="1184" xr:uid="{00000000-0005-0000-0000-00004B040000}"/>
    <cellStyle name="Normal 1706" xfId="1185" xr:uid="{00000000-0005-0000-0000-00004C040000}"/>
    <cellStyle name="Normal 1707" xfId="1186" xr:uid="{00000000-0005-0000-0000-00004D040000}"/>
    <cellStyle name="Normal 1708" xfId="1187" xr:uid="{00000000-0005-0000-0000-00004E040000}"/>
    <cellStyle name="Normal 1709" xfId="1188" xr:uid="{00000000-0005-0000-0000-00004F040000}"/>
    <cellStyle name="Normal 171" xfId="1189" xr:uid="{00000000-0005-0000-0000-000050040000}"/>
    <cellStyle name="Normal 1710" xfId="1190" xr:uid="{00000000-0005-0000-0000-000051040000}"/>
    <cellStyle name="Normal 1711" xfId="1191" xr:uid="{00000000-0005-0000-0000-000052040000}"/>
    <cellStyle name="Normal 1712" xfId="1192" xr:uid="{00000000-0005-0000-0000-000053040000}"/>
    <cellStyle name="Normal 1713" xfId="1193" xr:uid="{00000000-0005-0000-0000-000054040000}"/>
    <cellStyle name="Normal 1714" xfId="1194" xr:uid="{00000000-0005-0000-0000-000055040000}"/>
    <cellStyle name="Normal 1715" xfId="1195" xr:uid="{00000000-0005-0000-0000-000056040000}"/>
    <cellStyle name="Normal 1716" xfId="1196" xr:uid="{00000000-0005-0000-0000-000057040000}"/>
    <cellStyle name="Normal 1717" xfId="1197" xr:uid="{00000000-0005-0000-0000-000058040000}"/>
    <cellStyle name="Normal 1718" xfId="1198" xr:uid="{00000000-0005-0000-0000-000059040000}"/>
    <cellStyle name="Normal 1719" xfId="1199" xr:uid="{00000000-0005-0000-0000-00005A040000}"/>
    <cellStyle name="Normal 172" xfId="1200" xr:uid="{00000000-0005-0000-0000-00005B040000}"/>
    <cellStyle name="Normal 1720" xfId="1201" xr:uid="{00000000-0005-0000-0000-00005C040000}"/>
    <cellStyle name="Normal 1721" xfId="1202" xr:uid="{00000000-0005-0000-0000-00005D040000}"/>
    <cellStyle name="Normal 1722" xfId="1203" xr:uid="{00000000-0005-0000-0000-00005E040000}"/>
    <cellStyle name="Normal 1723" xfId="1204" xr:uid="{00000000-0005-0000-0000-00005F040000}"/>
    <cellStyle name="Normal 1724" xfId="1205" xr:uid="{00000000-0005-0000-0000-000060040000}"/>
    <cellStyle name="Normal 1725" xfId="1206" xr:uid="{00000000-0005-0000-0000-000061040000}"/>
    <cellStyle name="Normal 1726" xfId="1207" xr:uid="{00000000-0005-0000-0000-000062040000}"/>
    <cellStyle name="Normal 1727" xfId="1208" xr:uid="{00000000-0005-0000-0000-000063040000}"/>
    <cellStyle name="Normal 1728" xfId="1209" xr:uid="{00000000-0005-0000-0000-000064040000}"/>
    <cellStyle name="Normal 1729" xfId="1210" xr:uid="{00000000-0005-0000-0000-000065040000}"/>
    <cellStyle name="Normal 173" xfId="1211" xr:uid="{00000000-0005-0000-0000-000066040000}"/>
    <cellStyle name="Normal 1730" xfId="1212" xr:uid="{00000000-0005-0000-0000-000067040000}"/>
    <cellStyle name="Normal 1731" xfId="1213" xr:uid="{00000000-0005-0000-0000-000068040000}"/>
    <cellStyle name="Normal 1732" xfId="1214" xr:uid="{00000000-0005-0000-0000-000069040000}"/>
    <cellStyle name="Normal 1733" xfId="1215" xr:uid="{00000000-0005-0000-0000-00006A040000}"/>
    <cellStyle name="Normal 1734" xfId="1216" xr:uid="{00000000-0005-0000-0000-00006B040000}"/>
    <cellStyle name="Normal 1735" xfId="1217" xr:uid="{00000000-0005-0000-0000-00006C040000}"/>
    <cellStyle name="Normal 1736" xfId="1218" xr:uid="{00000000-0005-0000-0000-00006D040000}"/>
    <cellStyle name="Normal 1737" xfId="1219" xr:uid="{00000000-0005-0000-0000-00006E040000}"/>
    <cellStyle name="Normal 1738" xfId="1220" xr:uid="{00000000-0005-0000-0000-00006F040000}"/>
    <cellStyle name="Normal 1739" xfId="1221" xr:uid="{00000000-0005-0000-0000-000070040000}"/>
    <cellStyle name="Normal 174" xfId="1222" xr:uid="{00000000-0005-0000-0000-000071040000}"/>
    <cellStyle name="Normal 1740" xfId="1223" xr:uid="{00000000-0005-0000-0000-000072040000}"/>
    <cellStyle name="Normal 1741" xfId="1224" xr:uid="{00000000-0005-0000-0000-000073040000}"/>
    <cellStyle name="Normal 1742" xfId="1225" xr:uid="{00000000-0005-0000-0000-000074040000}"/>
    <cellStyle name="Normal 1743" xfId="1226" xr:uid="{00000000-0005-0000-0000-000075040000}"/>
    <cellStyle name="Normal 1744" xfId="1227" xr:uid="{00000000-0005-0000-0000-000076040000}"/>
    <cellStyle name="Normal 1745" xfId="1228" xr:uid="{00000000-0005-0000-0000-000077040000}"/>
    <cellStyle name="Normal 1746" xfId="1229" xr:uid="{00000000-0005-0000-0000-000078040000}"/>
    <cellStyle name="Normal 1747" xfId="1230" xr:uid="{00000000-0005-0000-0000-000079040000}"/>
    <cellStyle name="Normal 1748" xfId="1231" xr:uid="{00000000-0005-0000-0000-00007A040000}"/>
    <cellStyle name="Normal 1749" xfId="1232" xr:uid="{00000000-0005-0000-0000-00007B040000}"/>
    <cellStyle name="Normal 175" xfId="1233" xr:uid="{00000000-0005-0000-0000-00007C040000}"/>
    <cellStyle name="Normal 1750" xfId="1234" xr:uid="{00000000-0005-0000-0000-00007D040000}"/>
    <cellStyle name="Normal 1751" xfId="1235" xr:uid="{00000000-0005-0000-0000-00007E040000}"/>
    <cellStyle name="Normal 1752" xfId="1236" xr:uid="{00000000-0005-0000-0000-00007F040000}"/>
    <cellStyle name="Normal 1753" xfId="1237" xr:uid="{00000000-0005-0000-0000-000080040000}"/>
    <cellStyle name="Normal 1754" xfId="1238" xr:uid="{00000000-0005-0000-0000-000081040000}"/>
    <cellStyle name="Normal 1755" xfId="1239" xr:uid="{00000000-0005-0000-0000-000082040000}"/>
    <cellStyle name="Normal 1756" xfId="1240" xr:uid="{00000000-0005-0000-0000-000083040000}"/>
    <cellStyle name="Normal 1757" xfId="1241" xr:uid="{00000000-0005-0000-0000-000084040000}"/>
    <cellStyle name="Normal 1758" xfId="1242" xr:uid="{00000000-0005-0000-0000-000085040000}"/>
    <cellStyle name="Normal 1759" xfId="1243" xr:uid="{00000000-0005-0000-0000-000086040000}"/>
    <cellStyle name="Normal 176" xfId="1244" xr:uid="{00000000-0005-0000-0000-000087040000}"/>
    <cellStyle name="Normal 1760" xfId="1245" xr:uid="{00000000-0005-0000-0000-000088040000}"/>
    <cellStyle name="Normal 1761" xfId="1246" xr:uid="{00000000-0005-0000-0000-000089040000}"/>
    <cellStyle name="Normal 1762" xfId="1247" xr:uid="{00000000-0005-0000-0000-00008A040000}"/>
    <cellStyle name="Normal 1763" xfId="1248" xr:uid="{00000000-0005-0000-0000-00008B040000}"/>
    <cellStyle name="Normal 1764" xfId="1249" xr:uid="{00000000-0005-0000-0000-00008C040000}"/>
    <cellStyle name="Normal 1765" xfId="1250" xr:uid="{00000000-0005-0000-0000-00008D040000}"/>
    <cellStyle name="Normal 1766" xfId="1251" xr:uid="{00000000-0005-0000-0000-00008E040000}"/>
    <cellStyle name="Normal 1767" xfId="1252" xr:uid="{00000000-0005-0000-0000-00008F040000}"/>
    <cellStyle name="Normal 1768" xfId="1253" xr:uid="{00000000-0005-0000-0000-000090040000}"/>
    <cellStyle name="Normal 1769" xfId="1254" xr:uid="{00000000-0005-0000-0000-000091040000}"/>
    <cellStyle name="Normal 177" xfId="1255" xr:uid="{00000000-0005-0000-0000-000092040000}"/>
    <cellStyle name="Normal 1770" xfId="1256" xr:uid="{00000000-0005-0000-0000-000093040000}"/>
    <cellStyle name="Normal 1771" xfId="1257" xr:uid="{00000000-0005-0000-0000-000094040000}"/>
    <cellStyle name="Normal 1772" xfId="1258" xr:uid="{00000000-0005-0000-0000-000095040000}"/>
    <cellStyle name="Normal 1773" xfId="1259" xr:uid="{00000000-0005-0000-0000-000096040000}"/>
    <cellStyle name="Normal 1774" xfId="1260" xr:uid="{00000000-0005-0000-0000-000097040000}"/>
    <cellStyle name="Normal 1775" xfId="1261" xr:uid="{00000000-0005-0000-0000-000098040000}"/>
    <cellStyle name="Normal 1776" xfId="1262" xr:uid="{00000000-0005-0000-0000-000099040000}"/>
    <cellStyle name="Normal 1777" xfId="1263" xr:uid="{00000000-0005-0000-0000-00009A040000}"/>
    <cellStyle name="Normal 1778" xfId="1264" xr:uid="{00000000-0005-0000-0000-00009B040000}"/>
    <cellStyle name="Normal 1779" xfId="1265" xr:uid="{00000000-0005-0000-0000-00009C040000}"/>
    <cellStyle name="Normal 178" xfId="1266" xr:uid="{00000000-0005-0000-0000-00009D040000}"/>
    <cellStyle name="Normal 1780" xfId="1267" xr:uid="{00000000-0005-0000-0000-00009E040000}"/>
    <cellStyle name="Normal 1781" xfId="1268" xr:uid="{00000000-0005-0000-0000-00009F040000}"/>
    <cellStyle name="Normal 1782" xfId="1269" xr:uid="{00000000-0005-0000-0000-0000A0040000}"/>
    <cellStyle name="Normal 1783" xfId="1270" xr:uid="{00000000-0005-0000-0000-0000A1040000}"/>
    <cellStyle name="Normal 1784" xfId="1271" xr:uid="{00000000-0005-0000-0000-0000A2040000}"/>
    <cellStyle name="Normal 1785" xfId="1272" xr:uid="{00000000-0005-0000-0000-0000A3040000}"/>
    <cellStyle name="Normal 1786" xfId="1273" xr:uid="{00000000-0005-0000-0000-0000A4040000}"/>
    <cellStyle name="Normal 1787" xfId="1274" xr:uid="{00000000-0005-0000-0000-0000A5040000}"/>
    <cellStyle name="Normal 1788" xfId="1275" xr:uid="{00000000-0005-0000-0000-0000A6040000}"/>
    <cellStyle name="Normal 1789" xfId="1276" xr:uid="{00000000-0005-0000-0000-0000A7040000}"/>
    <cellStyle name="Normal 179" xfId="1277" xr:uid="{00000000-0005-0000-0000-0000A8040000}"/>
    <cellStyle name="Normal 1790" xfId="1278" xr:uid="{00000000-0005-0000-0000-0000A9040000}"/>
    <cellStyle name="Normal 1791" xfId="1279" xr:uid="{00000000-0005-0000-0000-0000AA040000}"/>
    <cellStyle name="Normal 1792" xfId="1280" xr:uid="{00000000-0005-0000-0000-0000AB040000}"/>
    <cellStyle name="Normal 1793" xfId="1281" xr:uid="{00000000-0005-0000-0000-0000AC040000}"/>
    <cellStyle name="Normal 1794" xfId="1282" xr:uid="{00000000-0005-0000-0000-0000AD040000}"/>
    <cellStyle name="Normal 1795" xfId="1283" xr:uid="{00000000-0005-0000-0000-0000AE040000}"/>
    <cellStyle name="Normal 1796" xfId="1284" xr:uid="{00000000-0005-0000-0000-0000AF040000}"/>
    <cellStyle name="Normal 1797" xfId="1285" xr:uid="{00000000-0005-0000-0000-0000B0040000}"/>
    <cellStyle name="Normal 1798" xfId="1286" xr:uid="{00000000-0005-0000-0000-0000B1040000}"/>
    <cellStyle name="Normal 1799" xfId="1287" xr:uid="{00000000-0005-0000-0000-0000B2040000}"/>
    <cellStyle name="Normal 18" xfId="29" xr:uid="{00000000-0005-0000-0000-0000B3040000}"/>
    <cellStyle name="Normal 18 2" xfId="87" xr:uid="{00000000-0005-0000-0000-0000B4040000}"/>
    <cellStyle name="Normal 18 2 2" xfId="1288" xr:uid="{00000000-0005-0000-0000-0000B5040000}"/>
    <cellStyle name="Normal 18 2 3" xfId="1289" xr:uid="{00000000-0005-0000-0000-0000B6040000}"/>
    <cellStyle name="Normal 18 2 4" xfId="1290" xr:uid="{00000000-0005-0000-0000-0000B7040000}"/>
    <cellStyle name="Normal 18 3" xfId="163" xr:uid="{00000000-0005-0000-0000-0000B8040000}"/>
    <cellStyle name="Normal 18 3 2" xfId="1291" xr:uid="{00000000-0005-0000-0000-0000B9040000}"/>
    <cellStyle name="Normal 18 3 3" xfId="1292" xr:uid="{00000000-0005-0000-0000-0000BA040000}"/>
    <cellStyle name="Normal 18 3 4" xfId="1293" xr:uid="{00000000-0005-0000-0000-0000BB040000}"/>
    <cellStyle name="Normal 18 4" xfId="1294" xr:uid="{00000000-0005-0000-0000-0000BC040000}"/>
    <cellStyle name="Normal 18 5" xfId="1295" xr:uid="{00000000-0005-0000-0000-0000BD040000}"/>
    <cellStyle name="Normal 18 6" xfId="1296" xr:uid="{00000000-0005-0000-0000-0000BE040000}"/>
    <cellStyle name="Normal 18 7" xfId="1297" xr:uid="{00000000-0005-0000-0000-0000BF040000}"/>
    <cellStyle name="Normal 18_Sheet1" xfId="103" xr:uid="{00000000-0005-0000-0000-0000C0040000}"/>
    <cellStyle name="Normal 180" xfId="1298" xr:uid="{00000000-0005-0000-0000-0000C1040000}"/>
    <cellStyle name="Normal 1800" xfId="1299" xr:uid="{00000000-0005-0000-0000-0000C2040000}"/>
    <cellStyle name="Normal 1801" xfId="1300" xr:uid="{00000000-0005-0000-0000-0000C3040000}"/>
    <cellStyle name="Normal 1802" xfId="1301" xr:uid="{00000000-0005-0000-0000-0000C4040000}"/>
    <cellStyle name="Normal 1803" xfId="1302" xr:uid="{00000000-0005-0000-0000-0000C5040000}"/>
    <cellStyle name="Normal 1804" xfId="1303" xr:uid="{00000000-0005-0000-0000-0000C6040000}"/>
    <cellStyle name="Normal 1805" xfId="1304" xr:uid="{00000000-0005-0000-0000-0000C7040000}"/>
    <cellStyle name="Normal 1806" xfId="1305" xr:uid="{00000000-0005-0000-0000-0000C8040000}"/>
    <cellStyle name="Normal 1807" xfId="1306" xr:uid="{00000000-0005-0000-0000-0000C9040000}"/>
    <cellStyle name="Normal 1808" xfId="1307" xr:uid="{00000000-0005-0000-0000-0000CA040000}"/>
    <cellStyle name="Normal 1809" xfId="1308" xr:uid="{00000000-0005-0000-0000-0000CB040000}"/>
    <cellStyle name="Normal 181" xfId="1309" xr:uid="{00000000-0005-0000-0000-0000CC040000}"/>
    <cellStyle name="Normal 1810" xfId="1310" xr:uid="{00000000-0005-0000-0000-0000CD040000}"/>
    <cellStyle name="Normal 1811" xfId="1311" xr:uid="{00000000-0005-0000-0000-0000CE040000}"/>
    <cellStyle name="Normal 1812" xfId="1312" xr:uid="{00000000-0005-0000-0000-0000CF040000}"/>
    <cellStyle name="Normal 1813" xfId="1313" xr:uid="{00000000-0005-0000-0000-0000D0040000}"/>
    <cellStyle name="Normal 1814" xfId="1314" xr:uid="{00000000-0005-0000-0000-0000D1040000}"/>
    <cellStyle name="Normal 1815" xfId="1315" xr:uid="{00000000-0005-0000-0000-0000D2040000}"/>
    <cellStyle name="Normal 1816" xfId="2430" xr:uid="{00000000-0005-0000-0000-0000D3040000}"/>
    <cellStyle name="Normal 182" xfId="1316" xr:uid="{00000000-0005-0000-0000-0000D4040000}"/>
    <cellStyle name="Normal 183" xfId="1317" xr:uid="{00000000-0005-0000-0000-0000D5040000}"/>
    <cellStyle name="Normal 184" xfId="1318" xr:uid="{00000000-0005-0000-0000-0000D6040000}"/>
    <cellStyle name="Normal 185" xfId="1319" xr:uid="{00000000-0005-0000-0000-0000D7040000}"/>
    <cellStyle name="Normal 186" xfId="1320" xr:uid="{00000000-0005-0000-0000-0000D8040000}"/>
    <cellStyle name="Normal 187" xfId="1321" xr:uid="{00000000-0005-0000-0000-0000D9040000}"/>
    <cellStyle name="Normal 188" xfId="1322" xr:uid="{00000000-0005-0000-0000-0000DA040000}"/>
    <cellStyle name="Normal 189" xfId="1323" xr:uid="{00000000-0005-0000-0000-0000DB040000}"/>
    <cellStyle name="Normal 19" xfId="30" xr:uid="{00000000-0005-0000-0000-0000DC040000}"/>
    <cellStyle name="Normal 19 2" xfId="89" xr:uid="{00000000-0005-0000-0000-0000DD040000}"/>
    <cellStyle name="Normal 19 2 2" xfId="1324" xr:uid="{00000000-0005-0000-0000-0000DE040000}"/>
    <cellStyle name="Normal 19 2 3" xfId="1325" xr:uid="{00000000-0005-0000-0000-0000DF040000}"/>
    <cellStyle name="Normal 19 2 4" xfId="1326" xr:uid="{00000000-0005-0000-0000-0000E0040000}"/>
    <cellStyle name="Normal 19 3" xfId="165" xr:uid="{00000000-0005-0000-0000-0000E1040000}"/>
    <cellStyle name="Normal 19 3 2" xfId="1327" xr:uid="{00000000-0005-0000-0000-0000E2040000}"/>
    <cellStyle name="Normal 19 3 3" xfId="1328" xr:uid="{00000000-0005-0000-0000-0000E3040000}"/>
    <cellStyle name="Normal 19 3 4" xfId="1329" xr:uid="{00000000-0005-0000-0000-0000E4040000}"/>
    <cellStyle name="Normal 19 4" xfId="1330" xr:uid="{00000000-0005-0000-0000-0000E5040000}"/>
    <cellStyle name="Normal 19 5" xfId="1331" xr:uid="{00000000-0005-0000-0000-0000E6040000}"/>
    <cellStyle name="Normal 19 6" xfId="1332" xr:uid="{00000000-0005-0000-0000-0000E7040000}"/>
    <cellStyle name="Normal 19 7" xfId="1333" xr:uid="{00000000-0005-0000-0000-0000E8040000}"/>
    <cellStyle name="Normal 19_Sheet1" xfId="117" xr:uid="{00000000-0005-0000-0000-0000E9040000}"/>
    <cellStyle name="Normal 190" xfId="1334" xr:uid="{00000000-0005-0000-0000-0000EA040000}"/>
    <cellStyle name="Normal 191" xfId="1335" xr:uid="{00000000-0005-0000-0000-0000EB040000}"/>
    <cellStyle name="Normal 192" xfId="1336" xr:uid="{00000000-0005-0000-0000-0000EC040000}"/>
    <cellStyle name="Normal 193" xfId="1337" xr:uid="{00000000-0005-0000-0000-0000ED040000}"/>
    <cellStyle name="Normal 194" xfId="1338" xr:uid="{00000000-0005-0000-0000-0000EE040000}"/>
    <cellStyle name="Normal 195" xfId="1339" xr:uid="{00000000-0005-0000-0000-0000EF040000}"/>
    <cellStyle name="Normal 196" xfId="1340" xr:uid="{00000000-0005-0000-0000-0000F0040000}"/>
    <cellStyle name="Normal 197" xfId="1341" xr:uid="{00000000-0005-0000-0000-0000F1040000}"/>
    <cellStyle name="Normal 198" xfId="1342" xr:uid="{00000000-0005-0000-0000-0000F2040000}"/>
    <cellStyle name="Normal 199" xfId="1343" xr:uid="{00000000-0005-0000-0000-0000F3040000}"/>
    <cellStyle name="Normal 2" xfId="31" xr:uid="{00000000-0005-0000-0000-0000F4040000}"/>
    <cellStyle name="Normal 2 2" xfId="32" xr:uid="{00000000-0005-0000-0000-0000F5040000}"/>
    <cellStyle name="Normal 2 2 2" xfId="62" xr:uid="{00000000-0005-0000-0000-0000F6040000}"/>
    <cellStyle name="Normal 2 2 2 2" xfId="1344" xr:uid="{00000000-0005-0000-0000-0000F7040000}"/>
    <cellStyle name="Normal 2 2 2 3" xfId="1345" xr:uid="{00000000-0005-0000-0000-0000F8040000}"/>
    <cellStyle name="Normal 2 2 2 4" xfId="1346" xr:uid="{00000000-0005-0000-0000-0000F9040000}"/>
    <cellStyle name="Normal 2 2 3" xfId="138" xr:uid="{00000000-0005-0000-0000-0000FA040000}"/>
    <cellStyle name="Normal 2 2 3 2" xfId="1347" xr:uid="{00000000-0005-0000-0000-0000FB040000}"/>
    <cellStyle name="Normal 2 2 3 3" xfId="1348" xr:uid="{00000000-0005-0000-0000-0000FC040000}"/>
    <cellStyle name="Normal 2 2 3 4" xfId="1349" xr:uid="{00000000-0005-0000-0000-0000FD040000}"/>
    <cellStyle name="Normal 2 2 4" xfId="1350" xr:uid="{00000000-0005-0000-0000-0000FE040000}"/>
    <cellStyle name="Normal 2 2 4 2" xfId="1351" xr:uid="{00000000-0005-0000-0000-0000FF040000}"/>
    <cellStyle name="Normal 2 2 5" xfId="1352" xr:uid="{00000000-0005-0000-0000-000000050000}"/>
    <cellStyle name="Normal 2 2 6" xfId="1353" xr:uid="{00000000-0005-0000-0000-000001050000}"/>
    <cellStyle name="Normal 2 2 7" xfId="1354" xr:uid="{00000000-0005-0000-0000-000002050000}"/>
    <cellStyle name="Normal 2 2_Sheet1" xfId="119" xr:uid="{00000000-0005-0000-0000-000003050000}"/>
    <cellStyle name="Normal 2 3" xfId="1355" xr:uid="{00000000-0005-0000-0000-000004050000}"/>
    <cellStyle name="Normal 2 4" xfId="1356" xr:uid="{00000000-0005-0000-0000-000005050000}"/>
    <cellStyle name="Normal 2_Sheet1" xfId="61" xr:uid="{00000000-0005-0000-0000-000006050000}"/>
    <cellStyle name="Normal 20" xfId="33" xr:uid="{00000000-0005-0000-0000-000007050000}"/>
    <cellStyle name="Normal 20 2" xfId="91" xr:uid="{00000000-0005-0000-0000-000008050000}"/>
    <cellStyle name="Normal 20 2 2" xfId="1357" xr:uid="{00000000-0005-0000-0000-000009050000}"/>
    <cellStyle name="Normal 20 2 3" xfId="1358" xr:uid="{00000000-0005-0000-0000-00000A050000}"/>
    <cellStyle name="Normal 20 2 4" xfId="1359" xr:uid="{00000000-0005-0000-0000-00000B050000}"/>
    <cellStyle name="Normal 20 3" xfId="167" xr:uid="{00000000-0005-0000-0000-00000C050000}"/>
    <cellStyle name="Normal 20 3 2" xfId="1360" xr:uid="{00000000-0005-0000-0000-00000D050000}"/>
    <cellStyle name="Normal 20 3 3" xfId="1361" xr:uid="{00000000-0005-0000-0000-00000E050000}"/>
    <cellStyle name="Normal 20 3 4" xfId="1362" xr:uid="{00000000-0005-0000-0000-00000F050000}"/>
    <cellStyle name="Normal 20 4" xfId="1363" xr:uid="{00000000-0005-0000-0000-000010050000}"/>
    <cellStyle name="Normal 20 5" xfId="1364" xr:uid="{00000000-0005-0000-0000-000011050000}"/>
    <cellStyle name="Normal 20 6" xfId="1365" xr:uid="{00000000-0005-0000-0000-000012050000}"/>
    <cellStyle name="Normal 20 7" xfId="1366" xr:uid="{00000000-0005-0000-0000-000013050000}"/>
    <cellStyle name="Normal 20_Sheet1" xfId="132" xr:uid="{00000000-0005-0000-0000-000014050000}"/>
    <cellStyle name="Normal 200" xfId="1367" xr:uid="{00000000-0005-0000-0000-000015050000}"/>
    <cellStyle name="Normal 201" xfId="1368" xr:uid="{00000000-0005-0000-0000-000016050000}"/>
    <cellStyle name="Normal 202" xfId="1369" xr:uid="{00000000-0005-0000-0000-000017050000}"/>
    <cellStyle name="Normal 203" xfId="1370" xr:uid="{00000000-0005-0000-0000-000018050000}"/>
    <cellStyle name="Normal 204" xfId="1371" xr:uid="{00000000-0005-0000-0000-000019050000}"/>
    <cellStyle name="Normal 205" xfId="1372" xr:uid="{00000000-0005-0000-0000-00001A050000}"/>
    <cellStyle name="Normal 206" xfId="1373" xr:uid="{00000000-0005-0000-0000-00001B050000}"/>
    <cellStyle name="Normal 207" xfId="1374" xr:uid="{00000000-0005-0000-0000-00001C050000}"/>
    <cellStyle name="Normal 208" xfId="1375" xr:uid="{00000000-0005-0000-0000-00001D050000}"/>
    <cellStyle name="Normal 209" xfId="1376" xr:uid="{00000000-0005-0000-0000-00001E050000}"/>
    <cellStyle name="Normal 21" xfId="34" xr:uid="{00000000-0005-0000-0000-00001F050000}"/>
    <cellStyle name="Normal 21 2" xfId="93" xr:uid="{00000000-0005-0000-0000-000020050000}"/>
    <cellStyle name="Normal 21 2 2" xfId="1377" xr:uid="{00000000-0005-0000-0000-000021050000}"/>
    <cellStyle name="Normal 21 2 3" xfId="1378" xr:uid="{00000000-0005-0000-0000-000022050000}"/>
    <cellStyle name="Normal 21 2 4" xfId="1379" xr:uid="{00000000-0005-0000-0000-000023050000}"/>
    <cellStyle name="Normal 21 3" xfId="169" xr:uid="{00000000-0005-0000-0000-000024050000}"/>
    <cellStyle name="Normal 21 3 2" xfId="1380" xr:uid="{00000000-0005-0000-0000-000025050000}"/>
    <cellStyle name="Normal 21 3 3" xfId="1381" xr:uid="{00000000-0005-0000-0000-000026050000}"/>
    <cellStyle name="Normal 21 3 4" xfId="1382" xr:uid="{00000000-0005-0000-0000-000027050000}"/>
    <cellStyle name="Normal 21 4" xfId="1383" xr:uid="{00000000-0005-0000-0000-000028050000}"/>
    <cellStyle name="Normal 21 5" xfId="1384" xr:uid="{00000000-0005-0000-0000-000029050000}"/>
    <cellStyle name="Normal 21 6" xfId="1385" xr:uid="{00000000-0005-0000-0000-00002A050000}"/>
    <cellStyle name="Normal 21 7" xfId="1386" xr:uid="{00000000-0005-0000-0000-00002B050000}"/>
    <cellStyle name="Normal 21_Sheet1" xfId="104" xr:uid="{00000000-0005-0000-0000-00002C050000}"/>
    <cellStyle name="Normal 210" xfId="1387" xr:uid="{00000000-0005-0000-0000-00002D050000}"/>
    <cellStyle name="Normal 211" xfId="1388" xr:uid="{00000000-0005-0000-0000-00002E050000}"/>
    <cellStyle name="Normal 212" xfId="1389" xr:uid="{00000000-0005-0000-0000-00002F050000}"/>
    <cellStyle name="Normal 213" xfId="1390" xr:uid="{00000000-0005-0000-0000-000030050000}"/>
    <cellStyle name="Normal 214" xfId="1391" xr:uid="{00000000-0005-0000-0000-000031050000}"/>
    <cellStyle name="Normal 215" xfId="1392" xr:uid="{00000000-0005-0000-0000-000032050000}"/>
    <cellStyle name="Normal 216" xfId="1393" xr:uid="{00000000-0005-0000-0000-000033050000}"/>
    <cellStyle name="Normal 217" xfId="1394" xr:uid="{00000000-0005-0000-0000-000034050000}"/>
    <cellStyle name="Normal 218" xfId="1395" xr:uid="{00000000-0005-0000-0000-000035050000}"/>
    <cellStyle name="Normal 219" xfId="1396" xr:uid="{00000000-0005-0000-0000-000036050000}"/>
    <cellStyle name="Normal 22" xfId="35" xr:uid="{00000000-0005-0000-0000-000037050000}"/>
    <cellStyle name="Normal 22 10" xfId="1397" xr:uid="{00000000-0005-0000-0000-000038050000}"/>
    <cellStyle name="Normal 22 11" xfId="1398" xr:uid="{00000000-0005-0000-0000-000039050000}"/>
    <cellStyle name="Normal 22 12" xfId="1399" xr:uid="{00000000-0005-0000-0000-00003A050000}"/>
    <cellStyle name="Normal 22 13" xfId="1400" xr:uid="{00000000-0005-0000-0000-00003B050000}"/>
    <cellStyle name="Normal 22 2" xfId="36" xr:uid="{00000000-0005-0000-0000-00003C050000}"/>
    <cellStyle name="Normal 22 2 2" xfId="1401" xr:uid="{00000000-0005-0000-0000-00003D050000}"/>
    <cellStyle name="Normal 22 2 3" xfId="1402" xr:uid="{00000000-0005-0000-0000-00003E050000}"/>
    <cellStyle name="Normal 22 2 4" xfId="1403" xr:uid="{00000000-0005-0000-0000-00003F050000}"/>
    <cellStyle name="Normal 22 3" xfId="37" xr:uid="{00000000-0005-0000-0000-000040050000}"/>
    <cellStyle name="Normal 22 3 2" xfId="1404" xr:uid="{00000000-0005-0000-0000-000041050000}"/>
    <cellStyle name="Normal 22 3 3" xfId="1405" xr:uid="{00000000-0005-0000-0000-000042050000}"/>
    <cellStyle name="Normal 22 3 4" xfId="1406" xr:uid="{00000000-0005-0000-0000-000043050000}"/>
    <cellStyle name="Normal 22 4" xfId="38" xr:uid="{00000000-0005-0000-0000-000044050000}"/>
    <cellStyle name="Normal 22 4 2" xfId="1407" xr:uid="{00000000-0005-0000-0000-000045050000}"/>
    <cellStyle name="Normal 22 4 3" xfId="1408" xr:uid="{00000000-0005-0000-0000-000046050000}"/>
    <cellStyle name="Normal 22 4 4" xfId="1409" xr:uid="{00000000-0005-0000-0000-000047050000}"/>
    <cellStyle name="Normal 22 5" xfId="39" xr:uid="{00000000-0005-0000-0000-000048050000}"/>
    <cellStyle name="Normal 22 5 2" xfId="1410" xr:uid="{00000000-0005-0000-0000-000049050000}"/>
    <cellStyle name="Normal 22 5 3" xfId="1411" xr:uid="{00000000-0005-0000-0000-00004A050000}"/>
    <cellStyle name="Normal 22 5 4" xfId="1412" xr:uid="{00000000-0005-0000-0000-00004B050000}"/>
    <cellStyle name="Normal 22 6" xfId="95" xr:uid="{00000000-0005-0000-0000-00004C050000}"/>
    <cellStyle name="Normal 22 6 2" xfId="1413" xr:uid="{00000000-0005-0000-0000-00004D050000}"/>
    <cellStyle name="Normal 22 6 3" xfId="1414" xr:uid="{00000000-0005-0000-0000-00004E050000}"/>
    <cellStyle name="Normal 22 6 4" xfId="1415" xr:uid="{00000000-0005-0000-0000-00004F050000}"/>
    <cellStyle name="Normal 22 7" xfId="171" xr:uid="{00000000-0005-0000-0000-000050050000}"/>
    <cellStyle name="Normal 22 7 2" xfId="1416" xr:uid="{00000000-0005-0000-0000-000051050000}"/>
    <cellStyle name="Normal 22 7 3" xfId="1417" xr:uid="{00000000-0005-0000-0000-000052050000}"/>
    <cellStyle name="Normal 22 7 4" xfId="1418" xr:uid="{00000000-0005-0000-0000-000053050000}"/>
    <cellStyle name="Normal 22 8" xfId="1419" xr:uid="{00000000-0005-0000-0000-000054050000}"/>
    <cellStyle name="Normal 22 9" xfId="1420" xr:uid="{00000000-0005-0000-0000-000055050000}"/>
    <cellStyle name="Normal 22_Sheet1" xfId="134" xr:uid="{00000000-0005-0000-0000-000056050000}"/>
    <cellStyle name="Normal 220" xfId="1421" xr:uid="{00000000-0005-0000-0000-000057050000}"/>
    <cellStyle name="Normal 221" xfId="1422" xr:uid="{00000000-0005-0000-0000-000058050000}"/>
    <cellStyle name="Normal 222" xfId="1423" xr:uid="{00000000-0005-0000-0000-000059050000}"/>
    <cellStyle name="Normal 223" xfId="1424" xr:uid="{00000000-0005-0000-0000-00005A050000}"/>
    <cellStyle name="Normal 224" xfId="1425" xr:uid="{00000000-0005-0000-0000-00005B050000}"/>
    <cellStyle name="Normal 225" xfId="1426" xr:uid="{00000000-0005-0000-0000-00005C050000}"/>
    <cellStyle name="Normal 226" xfId="1427" xr:uid="{00000000-0005-0000-0000-00005D050000}"/>
    <cellStyle name="Normal 227" xfId="1428" xr:uid="{00000000-0005-0000-0000-00005E050000}"/>
    <cellStyle name="Normal 228" xfId="1429" xr:uid="{00000000-0005-0000-0000-00005F050000}"/>
    <cellStyle name="Normal 229" xfId="1430" xr:uid="{00000000-0005-0000-0000-000060050000}"/>
    <cellStyle name="Normal 23" xfId="40" xr:uid="{00000000-0005-0000-0000-000061050000}"/>
    <cellStyle name="Normal 230" xfId="1431" xr:uid="{00000000-0005-0000-0000-000062050000}"/>
    <cellStyle name="Normal 231" xfId="1432" xr:uid="{00000000-0005-0000-0000-000063050000}"/>
    <cellStyle name="Normal 232" xfId="1433" xr:uid="{00000000-0005-0000-0000-000064050000}"/>
    <cellStyle name="Normal 233" xfId="1434" xr:uid="{00000000-0005-0000-0000-000065050000}"/>
    <cellStyle name="Normal 234" xfId="1435" xr:uid="{00000000-0005-0000-0000-000066050000}"/>
    <cellStyle name="Normal 235" xfId="1436" xr:uid="{00000000-0005-0000-0000-000067050000}"/>
    <cellStyle name="Normal 236" xfId="1437" xr:uid="{00000000-0005-0000-0000-000068050000}"/>
    <cellStyle name="Normal 237" xfId="1438" xr:uid="{00000000-0005-0000-0000-000069050000}"/>
    <cellStyle name="Normal 238" xfId="1439" xr:uid="{00000000-0005-0000-0000-00006A050000}"/>
    <cellStyle name="Normal 239" xfId="1440" xr:uid="{00000000-0005-0000-0000-00006B050000}"/>
    <cellStyle name="Normal 24" xfId="41" xr:uid="{00000000-0005-0000-0000-00006C050000}"/>
    <cellStyle name="Normal 24 2" xfId="1441" xr:uid="{00000000-0005-0000-0000-00006D050000}"/>
    <cellStyle name="Normal 24 3" xfId="1442" xr:uid="{00000000-0005-0000-0000-00006E050000}"/>
    <cellStyle name="Normal 24 4" xfId="1443" xr:uid="{00000000-0005-0000-0000-00006F050000}"/>
    <cellStyle name="Normal 240" xfId="1444" xr:uid="{00000000-0005-0000-0000-000070050000}"/>
    <cellStyle name="Normal 241" xfId="1445" xr:uid="{00000000-0005-0000-0000-000071050000}"/>
    <cellStyle name="Normal 242" xfId="1446" xr:uid="{00000000-0005-0000-0000-000072050000}"/>
    <cellStyle name="Normal 243" xfId="1447" xr:uid="{00000000-0005-0000-0000-000073050000}"/>
    <cellStyle name="Normal 244" xfId="1448" xr:uid="{00000000-0005-0000-0000-000074050000}"/>
    <cellStyle name="Normal 245" xfId="1449" xr:uid="{00000000-0005-0000-0000-000075050000}"/>
    <cellStyle name="Normal 246" xfId="1450" xr:uid="{00000000-0005-0000-0000-000076050000}"/>
    <cellStyle name="Normal 247" xfId="1451" xr:uid="{00000000-0005-0000-0000-000077050000}"/>
    <cellStyle name="Normal 248" xfId="1452" xr:uid="{00000000-0005-0000-0000-000078050000}"/>
    <cellStyle name="Normal 249" xfId="1453" xr:uid="{00000000-0005-0000-0000-000079050000}"/>
    <cellStyle name="Normal 25" xfId="42" xr:uid="{00000000-0005-0000-0000-00007A050000}"/>
    <cellStyle name="Normal 25 2" xfId="1454" xr:uid="{00000000-0005-0000-0000-00007B050000}"/>
    <cellStyle name="Normal 25 3" xfId="1455" xr:uid="{00000000-0005-0000-0000-00007C050000}"/>
    <cellStyle name="Normal 25 4" xfId="1456" xr:uid="{00000000-0005-0000-0000-00007D050000}"/>
    <cellStyle name="Normal 250" xfId="1457" xr:uid="{00000000-0005-0000-0000-00007E050000}"/>
    <cellStyle name="Normal 251" xfId="1458" xr:uid="{00000000-0005-0000-0000-00007F050000}"/>
    <cellStyle name="Normal 252" xfId="1459" xr:uid="{00000000-0005-0000-0000-000080050000}"/>
    <cellStyle name="Normal 253" xfId="1460" xr:uid="{00000000-0005-0000-0000-000081050000}"/>
    <cellStyle name="Normal 254" xfId="1461" xr:uid="{00000000-0005-0000-0000-000082050000}"/>
    <cellStyle name="Normal 255" xfId="1462" xr:uid="{00000000-0005-0000-0000-000083050000}"/>
    <cellStyle name="Normal 256" xfId="1463" xr:uid="{00000000-0005-0000-0000-000084050000}"/>
    <cellStyle name="Normal 257" xfId="1464" xr:uid="{00000000-0005-0000-0000-000085050000}"/>
    <cellStyle name="Normal 258" xfId="1465" xr:uid="{00000000-0005-0000-0000-000086050000}"/>
    <cellStyle name="Normal 259" xfId="1466" xr:uid="{00000000-0005-0000-0000-000087050000}"/>
    <cellStyle name="Normal 26" xfId="43" xr:uid="{00000000-0005-0000-0000-000088050000}"/>
    <cellStyle name="Normal 26 2" xfId="1467" xr:uid="{00000000-0005-0000-0000-000089050000}"/>
    <cellStyle name="Normal 26 3" xfId="1468" xr:uid="{00000000-0005-0000-0000-00008A050000}"/>
    <cellStyle name="Normal 26 4" xfId="1469" xr:uid="{00000000-0005-0000-0000-00008B050000}"/>
    <cellStyle name="Normal 260" xfId="1470" xr:uid="{00000000-0005-0000-0000-00008C050000}"/>
    <cellStyle name="Normal 261" xfId="1471" xr:uid="{00000000-0005-0000-0000-00008D050000}"/>
    <cellStyle name="Normal 262" xfId="1472" xr:uid="{00000000-0005-0000-0000-00008E050000}"/>
    <cellStyle name="Normal 263" xfId="1473" xr:uid="{00000000-0005-0000-0000-00008F050000}"/>
    <cellStyle name="Normal 264" xfId="1474" xr:uid="{00000000-0005-0000-0000-000090050000}"/>
    <cellStyle name="Normal 265" xfId="1475" xr:uid="{00000000-0005-0000-0000-000091050000}"/>
    <cellStyle name="Normal 266" xfId="1476" xr:uid="{00000000-0005-0000-0000-000092050000}"/>
    <cellStyle name="Normal 267" xfId="1477" xr:uid="{00000000-0005-0000-0000-000093050000}"/>
    <cellStyle name="Normal 268" xfId="1478" xr:uid="{00000000-0005-0000-0000-000094050000}"/>
    <cellStyle name="Normal 269" xfId="1479" xr:uid="{00000000-0005-0000-0000-000095050000}"/>
    <cellStyle name="Normal 27" xfId="44" xr:uid="{00000000-0005-0000-0000-000096050000}"/>
    <cellStyle name="Normal 27 2" xfId="100" xr:uid="{00000000-0005-0000-0000-000097050000}"/>
    <cellStyle name="Normal 27 2 2" xfId="1480" xr:uid="{00000000-0005-0000-0000-000098050000}"/>
    <cellStyle name="Normal 27 2 3" xfId="1481" xr:uid="{00000000-0005-0000-0000-000099050000}"/>
    <cellStyle name="Normal 27 2 4" xfId="1482" xr:uid="{00000000-0005-0000-0000-00009A050000}"/>
    <cellStyle name="Normal 27 3" xfId="176" xr:uid="{00000000-0005-0000-0000-00009B050000}"/>
    <cellStyle name="Normal 27 3 2" xfId="1483" xr:uid="{00000000-0005-0000-0000-00009C050000}"/>
    <cellStyle name="Normal 27 3 3" xfId="1484" xr:uid="{00000000-0005-0000-0000-00009D050000}"/>
    <cellStyle name="Normal 27 3 4" xfId="1485" xr:uid="{00000000-0005-0000-0000-00009E050000}"/>
    <cellStyle name="Normal 27 4" xfId="1486" xr:uid="{00000000-0005-0000-0000-00009F050000}"/>
    <cellStyle name="Normal 27 5" xfId="1487" xr:uid="{00000000-0005-0000-0000-0000A0050000}"/>
    <cellStyle name="Normal 27 6" xfId="1488" xr:uid="{00000000-0005-0000-0000-0000A1050000}"/>
    <cellStyle name="Normal 27 7" xfId="1489" xr:uid="{00000000-0005-0000-0000-0000A2050000}"/>
    <cellStyle name="Normal 27_Sheet1" xfId="125" xr:uid="{00000000-0005-0000-0000-0000A3050000}"/>
    <cellStyle name="Normal 270" xfId="1490" xr:uid="{00000000-0005-0000-0000-0000A4050000}"/>
    <cellStyle name="Normal 271" xfId="1491" xr:uid="{00000000-0005-0000-0000-0000A5050000}"/>
    <cellStyle name="Normal 272" xfId="1492" xr:uid="{00000000-0005-0000-0000-0000A6050000}"/>
    <cellStyle name="Normal 273" xfId="1493" xr:uid="{00000000-0005-0000-0000-0000A7050000}"/>
    <cellStyle name="Normal 274" xfId="1494" xr:uid="{00000000-0005-0000-0000-0000A8050000}"/>
    <cellStyle name="Normal 275" xfId="1495" xr:uid="{00000000-0005-0000-0000-0000A9050000}"/>
    <cellStyle name="Normal 276" xfId="1496" xr:uid="{00000000-0005-0000-0000-0000AA050000}"/>
    <cellStyle name="Normal 277" xfId="1497" xr:uid="{00000000-0005-0000-0000-0000AB050000}"/>
    <cellStyle name="Normal 278" xfId="1498" xr:uid="{00000000-0005-0000-0000-0000AC050000}"/>
    <cellStyle name="Normal 279" xfId="1499" xr:uid="{00000000-0005-0000-0000-0000AD050000}"/>
    <cellStyle name="Normal 28" xfId="45" xr:uid="{00000000-0005-0000-0000-0000AE050000}"/>
    <cellStyle name="Normal 28 2" xfId="97" xr:uid="{00000000-0005-0000-0000-0000AF050000}"/>
    <cellStyle name="Normal 28 2 2" xfId="1500" xr:uid="{00000000-0005-0000-0000-0000B0050000}"/>
    <cellStyle name="Normal 28 2 3" xfId="1501" xr:uid="{00000000-0005-0000-0000-0000B1050000}"/>
    <cellStyle name="Normal 28 2 4" xfId="1502" xr:uid="{00000000-0005-0000-0000-0000B2050000}"/>
    <cellStyle name="Normal 28 3" xfId="173" xr:uid="{00000000-0005-0000-0000-0000B3050000}"/>
    <cellStyle name="Normal 28 3 2" xfId="1503" xr:uid="{00000000-0005-0000-0000-0000B4050000}"/>
    <cellStyle name="Normal 28 3 3" xfId="1504" xr:uid="{00000000-0005-0000-0000-0000B5050000}"/>
    <cellStyle name="Normal 28 3 4" xfId="1505" xr:uid="{00000000-0005-0000-0000-0000B6050000}"/>
    <cellStyle name="Normal 28 4" xfId="1506" xr:uid="{00000000-0005-0000-0000-0000B7050000}"/>
    <cellStyle name="Normal 28 5" xfId="1507" xr:uid="{00000000-0005-0000-0000-0000B8050000}"/>
    <cellStyle name="Normal 28 6" xfId="1508" xr:uid="{00000000-0005-0000-0000-0000B9050000}"/>
    <cellStyle name="Normal 28 7" xfId="1509" xr:uid="{00000000-0005-0000-0000-0000BA050000}"/>
    <cellStyle name="Normal 28_Sheet1" xfId="121" xr:uid="{00000000-0005-0000-0000-0000BB050000}"/>
    <cellStyle name="Normal 280" xfId="1510" xr:uid="{00000000-0005-0000-0000-0000BC050000}"/>
    <cellStyle name="Normal 281" xfId="1511" xr:uid="{00000000-0005-0000-0000-0000BD050000}"/>
    <cellStyle name="Normal 282" xfId="1512" xr:uid="{00000000-0005-0000-0000-0000BE050000}"/>
    <cellStyle name="Normal 283" xfId="1513" xr:uid="{00000000-0005-0000-0000-0000BF050000}"/>
    <cellStyle name="Normal 284" xfId="1514" xr:uid="{00000000-0005-0000-0000-0000C0050000}"/>
    <cellStyle name="Normal 285" xfId="1515" xr:uid="{00000000-0005-0000-0000-0000C1050000}"/>
    <cellStyle name="Normal 286" xfId="1516" xr:uid="{00000000-0005-0000-0000-0000C2050000}"/>
    <cellStyle name="Normal 287" xfId="1517" xr:uid="{00000000-0005-0000-0000-0000C3050000}"/>
    <cellStyle name="Normal 288" xfId="1518" xr:uid="{00000000-0005-0000-0000-0000C4050000}"/>
    <cellStyle name="Normal 289" xfId="1519" xr:uid="{00000000-0005-0000-0000-0000C5050000}"/>
    <cellStyle name="Normal 29" xfId="98" xr:uid="{00000000-0005-0000-0000-0000C6050000}"/>
    <cellStyle name="Normal 29 2" xfId="174" xr:uid="{00000000-0005-0000-0000-0000C7050000}"/>
    <cellStyle name="Normal 29 2 2" xfId="1520" xr:uid="{00000000-0005-0000-0000-0000C8050000}"/>
    <cellStyle name="Normal 29 2 3" xfId="1521" xr:uid="{00000000-0005-0000-0000-0000C9050000}"/>
    <cellStyle name="Normal 29 2 4" xfId="1522" xr:uid="{00000000-0005-0000-0000-0000CA050000}"/>
    <cellStyle name="Normal 29 3" xfId="1523" xr:uid="{00000000-0005-0000-0000-0000CB050000}"/>
    <cellStyle name="Normal 29 4" xfId="1524" xr:uid="{00000000-0005-0000-0000-0000CC050000}"/>
    <cellStyle name="Normal 29 5" xfId="1525" xr:uid="{00000000-0005-0000-0000-0000CD050000}"/>
    <cellStyle name="Normal 29 6" xfId="1526" xr:uid="{00000000-0005-0000-0000-0000CE050000}"/>
    <cellStyle name="Normal 290" xfId="1527" xr:uid="{00000000-0005-0000-0000-0000CF050000}"/>
    <cellStyle name="Normal 291" xfId="1528" xr:uid="{00000000-0005-0000-0000-0000D0050000}"/>
    <cellStyle name="Normal 292" xfId="1529" xr:uid="{00000000-0005-0000-0000-0000D1050000}"/>
    <cellStyle name="Normal 293" xfId="1530" xr:uid="{00000000-0005-0000-0000-0000D2050000}"/>
    <cellStyle name="Normal 294" xfId="1531" xr:uid="{00000000-0005-0000-0000-0000D3050000}"/>
    <cellStyle name="Normal 295" xfId="1532" xr:uid="{00000000-0005-0000-0000-0000D4050000}"/>
    <cellStyle name="Normal 296" xfId="1533" xr:uid="{00000000-0005-0000-0000-0000D5050000}"/>
    <cellStyle name="Normal 297" xfId="1534" xr:uid="{00000000-0005-0000-0000-0000D6050000}"/>
    <cellStyle name="Normal 298" xfId="1535" xr:uid="{00000000-0005-0000-0000-0000D7050000}"/>
    <cellStyle name="Normal 299" xfId="1536" xr:uid="{00000000-0005-0000-0000-0000D8050000}"/>
    <cellStyle name="Normal 3" xfId="46" xr:uid="{00000000-0005-0000-0000-0000D9050000}"/>
    <cellStyle name="Normal 3 2" xfId="63" xr:uid="{00000000-0005-0000-0000-0000DA050000}"/>
    <cellStyle name="Normal 3 2 2" xfId="1537" xr:uid="{00000000-0005-0000-0000-0000DB050000}"/>
    <cellStyle name="Normal 3 2 3" xfId="1538" xr:uid="{00000000-0005-0000-0000-0000DC050000}"/>
    <cellStyle name="Normal 3 2 4" xfId="1539" xr:uid="{00000000-0005-0000-0000-0000DD050000}"/>
    <cellStyle name="Normal 3 3" xfId="139" xr:uid="{00000000-0005-0000-0000-0000DE050000}"/>
    <cellStyle name="Normal 3 3 2" xfId="1540" xr:uid="{00000000-0005-0000-0000-0000DF050000}"/>
    <cellStyle name="Normal 3 3 3" xfId="1541" xr:uid="{00000000-0005-0000-0000-0000E0050000}"/>
    <cellStyle name="Normal 3 3 4" xfId="1542" xr:uid="{00000000-0005-0000-0000-0000E1050000}"/>
    <cellStyle name="Normal 3 4" xfId="1543" xr:uid="{00000000-0005-0000-0000-0000E2050000}"/>
    <cellStyle name="Normal 3 5" xfId="1544" xr:uid="{00000000-0005-0000-0000-0000E3050000}"/>
    <cellStyle name="Normal 3 6" xfId="1545" xr:uid="{00000000-0005-0000-0000-0000E4050000}"/>
    <cellStyle name="Normal 3 7" xfId="1546" xr:uid="{00000000-0005-0000-0000-0000E5050000}"/>
    <cellStyle name="Normal 3_Sheet1" xfId="112" xr:uid="{00000000-0005-0000-0000-0000E6050000}"/>
    <cellStyle name="Normal 30" xfId="99" xr:uid="{00000000-0005-0000-0000-0000E7050000}"/>
    <cellStyle name="Normal 30 2" xfId="175" xr:uid="{00000000-0005-0000-0000-0000E8050000}"/>
    <cellStyle name="Normal 30 2 2" xfId="1547" xr:uid="{00000000-0005-0000-0000-0000E9050000}"/>
    <cellStyle name="Normal 30 2 3" xfId="1548" xr:uid="{00000000-0005-0000-0000-0000EA050000}"/>
    <cellStyle name="Normal 30 2 4" xfId="1549" xr:uid="{00000000-0005-0000-0000-0000EB050000}"/>
    <cellStyle name="Normal 30 3" xfId="1550" xr:uid="{00000000-0005-0000-0000-0000EC050000}"/>
    <cellStyle name="Normal 30 4" xfId="1551" xr:uid="{00000000-0005-0000-0000-0000ED050000}"/>
    <cellStyle name="Normal 30 5" xfId="1552" xr:uid="{00000000-0005-0000-0000-0000EE050000}"/>
    <cellStyle name="Normal 30 6" xfId="1553" xr:uid="{00000000-0005-0000-0000-0000EF050000}"/>
    <cellStyle name="Normal 300" xfId="1554" xr:uid="{00000000-0005-0000-0000-0000F0050000}"/>
    <cellStyle name="Normal 301" xfId="1555" xr:uid="{00000000-0005-0000-0000-0000F1050000}"/>
    <cellStyle name="Normal 302" xfId="1556" xr:uid="{00000000-0005-0000-0000-0000F2050000}"/>
    <cellStyle name="Normal 303" xfId="1557" xr:uid="{00000000-0005-0000-0000-0000F3050000}"/>
    <cellStyle name="Normal 304" xfId="1558" xr:uid="{00000000-0005-0000-0000-0000F4050000}"/>
    <cellStyle name="Normal 305" xfId="1559" xr:uid="{00000000-0005-0000-0000-0000F5050000}"/>
    <cellStyle name="Normal 306" xfId="1560" xr:uid="{00000000-0005-0000-0000-0000F6050000}"/>
    <cellStyle name="Normal 307" xfId="1561" xr:uid="{00000000-0005-0000-0000-0000F7050000}"/>
    <cellStyle name="Normal 308" xfId="1562" xr:uid="{00000000-0005-0000-0000-0000F8050000}"/>
    <cellStyle name="Normal 309" xfId="1563" xr:uid="{00000000-0005-0000-0000-0000F9050000}"/>
    <cellStyle name="Normal 31" xfId="56" xr:uid="{00000000-0005-0000-0000-0000FA050000}"/>
    <cellStyle name="Normal 31 2" xfId="1564" xr:uid="{00000000-0005-0000-0000-0000FB050000}"/>
    <cellStyle name="Normal 31 3" xfId="1565" xr:uid="{00000000-0005-0000-0000-0000FC050000}"/>
    <cellStyle name="Normal 31 4" xfId="1566" xr:uid="{00000000-0005-0000-0000-0000FD050000}"/>
    <cellStyle name="Normal 310" xfId="1567" xr:uid="{00000000-0005-0000-0000-0000FE050000}"/>
    <cellStyle name="Normal 311" xfId="1568" xr:uid="{00000000-0005-0000-0000-0000FF050000}"/>
    <cellStyle name="Normal 312" xfId="1569" xr:uid="{00000000-0005-0000-0000-000000060000}"/>
    <cellStyle name="Normal 313" xfId="1570" xr:uid="{00000000-0005-0000-0000-000001060000}"/>
    <cellStyle name="Normal 314" xfId="1571" xr:uid="{00000000-0005-0000-0000-000002060000}"/>
    <cellStyle name="Normal 315" xfId="1572" xr:uid="{00000000-0005-0000-0000-000003060000}"/>
    <cellStyle name="Normal 316" xfId="1573" xr:uid="{00000000-0005-0000-0000-000004060000}"/>
    <cellStyle name="Normal 317" xfId="1574" xr:uid="{00000000-0005-0000-0000-000005060000}"/>
    <cellStyle name="Normal 318" xfId="1575" xr:uid="{00000000-0005-0000-0000-000006060000}"/>
    <cellStyle name="Normal 319" xfId="1576" xr:uid="{00000000-0005-0000-0000-000007060000}"/>
    <cellStyle name="Normal 32" xfId="136" xr:uid="{00000000-0005-0000-0000-000008060000}"/>
    <cellStyle name="Normal 32 2" xfId="1577" xr:uid="{00000000-0005-0000-0000-000009060000}"/>
    <cellStyle name="Normal 32 3" xfId="1578" xr:uid="{00000000-0005-0000-0000-00000A060000}"/>
    <cellStyle name="Normal 32 4" xfId="1579" xr:uid="{00000000-0005-0000-0000-00000B060000}"/>
    <cellStyle name="Normal 320" xfId="1580" xr:uid="{00000000-0005-0000-0000-00000C060000}"/>
    <cellStyle name="Normal 321" xfId="1581" xr:uid="{00000000-0005-0000-0000-00000D060000}"/>
    <cellStyle name="Normal 322" xfId="1582" xr:uid="{00000000-0005-0000-0000-00000E060000}"/>
    <cellStyle name="Normal 323" xfId="1583" xr:uid="{00000000-0005-0000-0000-00000F060000}"/>
    <cellStyle name="Normal 324" xfId="1584" xr:uid="{00000000-0005-0000-0000-000010060000}"/>
    <cellStyle name="Normal 325" xfId="1585" xr:uid="{00000000-0005-0000-0000-000011060000}"/>
    <cellStyle name="Normal 326" xfId="1586" xr:uid="{00000000-0005-0000-0000-000012060000}"/>
    <cellStyle name="Normal 327" xfId="1587" xr:uid="{00000000-0005-0000-0000-000013060000}"/>
    <cellStyle name="Normal 328" xfId="1588" xr:uid="{00000000-0005-0000-0000-000014060000}"/>
    <cellStyle name="Normal 329" xfId="1589" xr:uid="{00000000-0005-0000-0000-000015060000}"/>
    <cellStyle name="Normal 33" xfId="1590" xr:uid="{00000000-0005-0000-0000-000016060000}"/>
    <cellStyle name="Normal 33 2" xfId="1591" xr:uid="{00000000-0005-0000-0000-000017060000}"/>
    <cellStyle name="Normal 330" xfId="1592" xr:uid="{00000000-0005-0000-0000-000018060000}"/>
    <cellStyle name="Normal 331" xfId="1593" xr:uid="{00000000-0005-0000-0000-000019060000}"/>
    <cellStyle name="Normal 332" xfId="1594" xr:uid="{00000000-0005-0000-0000-00001A060000}"/>
    <cellStyle name="Normal 333" xfId="1595" xr:uid="{00000000-0005-0000-0000-00001B060000}"/>
    <cellStyle name="Normal 334" xfId="1596" xr:uid="{00000000-0005-0000-0000-00001C060000}"/>
    <cellStyle name="Normal 335" xfId="1597" xr:uid="{00000000-0005-0000-0000-00001D060000}"/>
    <cellStyle name="Normal 336" xfId="1598" xr:uid="{00000000-0005-0000-0000-00001E060000}"/>
    <cellStyle name="Normal 337" xfId="1599" xr:uid="{00000000-0005-0000-0000-00001F060000}"/>
    <cellStyle name="Normal 338" xfId="1600" xr:uid="{00000000-0005-0000-0000-000020060000}"/>
    <cellStyle name="Normal 339" xfId="1601" xr:uid="{00000000-0005-0000-0000-000021060000}"/>
    <cellStyle name="Normal 34" xfId="1602" xr:uid="{00000000-0005-0000-0000-000022060000}"/>
    <cellStyle name="Normal 34 2" xfId="1603" xr:uid="{00000000-0005-0000-0000-000023060000}"/>
    <cellStyle name="Normal 340" xfId="1604" xr:uid="{00000000-0005-0000-0000-000024060000}"/>
    <cellStyle name="Normal 341" xfId="1605" xr:uid="{00000000-0005-0000-0000-000025060000}"/>
    <cellStyle name="Normal 342" xfId="1606" xr:uid="{00000000-0005-0000-0000-000026060000}"/>
    <cellStyle name="Normal 343" xfId="1607" xr:uid="{00000000-0005-0000-0000-000027060000}"/>
    <cellStyle name="Normal 344" xfId="1608" xr:uid="{00000000-0005-0000-0000-000028060000}"/>
    <cellStyle name="Normal 345" xfId="1609" xr:uid="{00000000-0005-0000-0000-000029060000}"/>
    <cellStyle name="Normal 346" xfId="1610" xr:uid="{00000000-0005-0000-0000-00002A060000}"/>
    <cellStyle name="Normal 347" xfId="1611" xr:uid="{00000000-0005-0000-0000-00002B060000}"/>
    <cellStyle name="Normal 348" xfId="1612" xr:uid="{00000000-0005-0000-0000-00002C060000}"/>
    <cellStyle name="Normal 349" xfId="1613" xr:uid="{00000000-0005-0000-0000-00002D060000}"/>
    <cellStyle name="Normal 35" xfId="1614" xr:uid="{00000000-0005-0000-0000-00002E060000}"/>
    <cellStyle name="Normal 35 2" xfId="1615" xr:uid="{00000000-0005-0000-0000-00002F060000}"/>
    <cellStyle name="Normal 350" xfId="1616" xr:uid="{00000000-0005-0000-0000-000030060000}"/>
    <cellStyle name="Normal 351" xfId="1617" xr:uid="{00000000-0005-0000-0000-000031060000}"/>
    <cellStyle name="Normal 352" xfId="1618" xr:uid="{00000000-0005-0000-0000-000032060000}"/>
    <cellStyle name="Normal 353" xfId="1619" xr:uid="{00000000-0005-0000-0000-000033060000}"/>
    <cellStyle name="Normal 354" xfId="1620" xr:uid="{00000000-0005-0000-0000-000034060000}"/>
    <cellStyle name="Normal 355" xfId="1621" xr:uid="{00000000-0005-0000-0000-000035060000}"/>
    <cellStyle name="Normal 356" xfId="1622" xr:uid="{00000000-0005-0000-0000-000036060000}"/>
    <cellStyle name="Normal 357" xfId="1623" xr:uid="{00000000-0005-0000-0000-000037060000}"/>
    <cellStyle name="Normal 358" xfId="1624" xr:uid="{00000000-0005-0000-0000-000038060000}"/>
    <cellStyle name="Normal 359" xfId="1625" xr:uid="{00000000-0005-0000-0000-000039060000}"/>
    <cellStyle name="Normal 36" xfId="1626" xr:uid="{00000000-0005-0000-0000-00003A060000}"/>
    <cellStyle name="Normal 36 2" xfId="1627" xr:uid="{00000000-0005-0000-0000-00003B060000}"/>
    <cellStyle name="Normal 36 3" xfId="1628" xr:uid="{00000000-0005-0000-0000-00003C060000}"/>
    <cellStyle name="Normal 360" xfId="1629" xr:uid="{00000000-0005-0000-0000-00003D060000}"/>
    <cellStyle name="Normal 361" xfId="1630" xr:uid="{00000000-0005-0000-0000-00003E060000}"/>
    <cellStyle name="Normal 362" xfId="1631" xr:uid="{00000000-0005-0000-0000-00003F060000}"/>
    <cellStyle name="Normal 363" xfId="1632" xr:uid="{00000000-0005-0000-0000-000040060000}"/>
    <cellStyle name="Normal 364" xfId="1633" xr:uid="{00000000-0005-0000-0000-000041060000}"/>
    <cellStyle name="Normal 365" xfId="1634" xr:uid="{00000000-0005-0000-0000-000042060000}"/>
    <cellStyle name="Normal 366" xfId="1635" xr:uid="{00000000-0005-0000-0000-000043060000}"/>
    <cellStyle name="Normal 367" xfId="1636" xr:uid="{00000000-0005-0000-0000-000044060000}"/>
    <cellStyle name="Normal 368" xfId="1637" xr:uid="{00000000-0005-0000-0000-000045060000}"/>
    <cellStyle name="Normal 369" xfId="1638" xr:uid="{00000000-0005-0000-0000-000046060000}"/>
    <cellStyle name="Normal 37" xfId="1639" xr:uid="{00000000-0005-0000-0000-000047060000}"/>
    <cellStyle name="Normal 37 2" xfId="1640" xr:uid="{00000000-0005-0000-0000-000048060000}"/>
    <cellStyle name="Normal 37 3" xfId="1641" xr:uid="{00000000-0005-0000-0000-000049060000}"/>
    <cellStyle name="Normal 370" xfId="1642" xr:uid="{00000000-0005-0000-0000-00004A060000}"/>
    <cellStyle name="Normal 371" xfId="1643" xr:uid="{00000000-0005-0000-0000-00004B060000}"/>
    <cellStyle name="Normal 372" xfId="1644" xr:uid="{00000000-0005-0000-0000-00004C060000}"/>
    <cellStyle name="Normal 373" xfId="1645" xr:uid="{00000000-0005-0000-0000-00004D060000}"/>
    <cellStyle name="Normal 374" xfId="1646" xr:uid="{00000000-0005-0000-0000-00004E060000}"/>
    <cellStyle name="Normal 375" xfId="1647" xr:uid="{00000000-0005-0000-0000-00004F060000}"/>
    <cellStyle name="Normal 376" xfId="1648" xr:uid="{00000000-0005-0000-0000-000050060000}"/>
    <cellStyle name="Normal 377" xfId="1649" xr:uid="{00000000-0005-0000-0000-000051060000}"/>
    <cellStyle name="Normal 378" xfId="1650" xr:uid="{00000000-0005-0000-0000-000052060000}"/>
    <cellStyle name="Normal 379" xfId="1651" xr:uid="{00000000-0005-0000-0000-000053060000}"/>
    <cellStyle name="Normal 38" xfId="1652" xr:uid="{00000000-0005-0000-0000-000054060000}"/>
    <cellStyle name="Normal 38 2" xfId="1653" xr:uid="{00000000-0005-0000-0000-000055060000}"/>
    <cellStyle name="Normal 38 3" xfId="1654" xr:uid="{00000000-0005-0000-0000-000056060000}"/>
    <cellStyle name="Normal 380" xfId="1655" xr:uid="{00000000-0005-0000-0000-000057060000}"/>
    <cellStyle name="Normal 381" xfId="1656" xr:uid="{00000000-0005-0000-0000-000058060000}"/>
    <cellStyle name="Normal 382" xfId="1657" xr:uid="{00000000-0005-0000-0000-000059060000}"/>
    <cellStyle name="Normal 383" xfId="1658" xr:uid="{00000000-0005-0000-0000-00005A060000}"/>
    <cellStyle name="Normal 384" xfId="1659" xr:uid="{00000000-0005-0000-0000-00005B060000}"/>
    <cellStyle name="Normal 385" xfId="1660" xr:uid="{00000000-0005-0000-0000-00005C060000}"/>
    <cellStyle name="Normal 386" xfId="1661" xr:uid="{00000000-0005-0000-0000-00005D060000}"/>
    <cellStyle name="Normal 387" xfId="1662" xr:uid="{00000000-0005-0000-0000-00005E060000}"/>
    <cellStyle name="Normal 388" xfId="1663" xr:uid="{00000000-0005-0000-0000-00005F060000}"/>
    <cellStyle name="Normal 389" xfId="1664" xr:uid="{00000000-0005-0000-0000-000060060000}"/>
    <cellStyle name="Normal 39" xfId="1665" xr:uid="{00000000-0005-0000-0000-000061060000}"/>
    <cellStyle name="Normal 39 2" xfId="1666" xr:uid="{00000000-0005-0000-0000-000062060000}"/>
    <cellStyle name="Normal 390" xfId="1667" xr:uid="{00000000-0005-0000-0000-000063060000}"/>
    <cellStyle name="Normal 391" xfId="1668" xr:uid="{00000000-0005-0000-0000-000064060000}"/>
    <cellStyle name="Normal 392" xfId="1669" xr:uid="{00000000-0005-0000-0000-000065060000}"/>
    <cellStyle name="Normal 393" xfId="1670" xr:uid="{00000000-0005-0000-0000-000066060000}"/>
    <cellStyle name="Normal 394" xfId="1671" xr:uid="{00000000-0005-0000-0000-000067060000}"/>
    <cellStyle name="Normal 395" xfId="1672" xr:uid="{00000000-0005-0000-0000-000068060000}"/>
    <cellStyle name="Normal 396" xfId="1673" xr:uid="{00000000-0005-0000-0000-000069060000}"/>
    <cellStyle name="Normal 397" xfId="1674" xr:uid="{00000000-0005-0000-0000-00006A060000}"/>
    <cellStyle name="Normal 398" xfId="1675" xr:uid="{00000000-0005-0000-0000-00006B060000}"/>
    <cellStyle name="Normal 399" xfId="1676" xr:uid="{00000000-0005-0000-0000-00006C060000}"/>
    <cellStyle name="Normal 4" xfId="47" xr:uid="{00000000-0005-0000-0000-00006D060000}"/>
    <cellStyle name="Normal 4 2" xfId="64" xr:uid="{00000000-0005-0000-0000-00006E060000}"/>
    <cellStyle name="Normal 4 2 2" xfId="1677" xr:uid="{00000000-0005-0000-0000-00006F060000}"/>
    <cellStyle name="Normal 4 2 3" xfId="1678" xr:uid="{00000000-0005-0000-0000-000070060000}"/>
    <cellStyle name="Normal 4 2 4" xfId="1679" xr:uid="{00000000-0005-0000-0000-000071060000}"/>
    <cellStyle name="Normal 4 3" xfId="140" xr:uid="{00000000-0005-0000-0000-000072060000}"/>
    <cellStyle name="Normal 4 3 2" xfId="1680" xr:uid="{00000000-0005-0000-0000-000073060000}"/>
    <cellStyle name="Normal 4 3 3" xfId="1681" xr:uid="{00000000-0005-0000-0000-000074060000}"/>
    <cellStyle name="Normal 4 3 4" xfId="1682" xr:uid="{00000000-0005-0000-0000-000075060000}"/>
    <cellStyle name="Normal 4 4" xfId="1683" xr:uid="{00000000-0005-0000-0000-000076060000}"/>
    <cellStyle name="Normal 4 5" xfId="1684" xr:uid="{00000000-0005-0000-0000-000077060000}"/>
    <cellStyle name="Normal 4 6" xfId="1685" xr:uid="{00000000-0005-0000-0000-000078060000}"/>
    <cellStyle name="Normal 4 7" xfId="1686" xr:uid="{00000000-0005-0000-0000-000079060000}"/>
    <cellStyle name="Normal 4_Sheet1" xfId="123" xr:uid="{00000000-0005-0000-0000-00007A060000}"/>
    <cellStyle name="Normal 40" xfId="1687" xr:uid="{00000000-0005-0000-0000-00007B060000}"/>
    <cellStyle name="Normal 400" xfId="1688" xr:uid="{00000000-0005-0000-0000-00007C060000}"/>
    <cellStyle name="Normal 401" xfId="1689" xr:uid="{00000000-0005-0000-0000-00007D060000}"/>
    <cellStyle name="Normal 402" xfId="1690" xr:uid="{00000000-0005-0000-0000-00007E060000}"/>
    <cellStyle name="Normal 403" xfId="1691" xr:uid="{00000000-0005-0000-0000-00007F060000}"/>
    <cellStyle name="Normal 404" xfId="1692" xr:uid="{00000000-0005-0000-0000-000080060000}"/>
    <cellStyle name="Normal 404 2" xfId="1693" xr:uid="{00000000-0005-0000-0000-000081060000}"/>
    <cellStyle name="Normal 404 3" xfId="1694" xr:uid="{00000000-0005-0000-0000-000082060000}"/>
    <cellStyle name="Normal 404 4" xfId="1695" xr:uid="{00000000-0005-0000-0000-000083060000}"/>
    <cellStyle name="Normal 405" xfId="1696" xr:uid="{00000000-0005-0000-0000-000084060000}"/>
    <cellStyle name="Normal 406" xfId="1697" xr:uid="{00000000-0005-0000-0000-000085060000}"/>
    <cellStyle name="Normal 407" xfId="1698" xr:uid="{00000000-0005-0000-0000-000086060000}"/>
    <cellStyle name="Normal 408" xfId="1699" xr:uid="{00000000-0005-0000-0000-000087060000}"/>
    <cellStyle name="Normal 409" xfId="1700" xr:uid="{00000000-0005-0000-0000-000088060000}"/>
    <cellStyle name="Normal 41" xfId="1701" xr:uid="{00000000-0005-0000-0000-000089060000}"/>
    <cellStyle name="Normal 410" xfId="1702" xr:uid="{00000000-0005-0000-0000-00008A060000}"/>
    <cellStyle name="Normal 411" xfId="1703" xr:uid="{00000000-0005-0000-0000-00008B060000}"/>
    <cellStyle name="Normal 412" xfId="1704" xr:uid="{00000000-0005-0000-0000-00008C060000}"/>
    <cellStyle name="Normal 413" xfId="1705" xr:uid="{00000000-0005-0000-0000-00008D060000}"/>
    <cellStyle name="Normal 414" xfId="1706" xr:uid="{00000000-0005-0000-0000-00008E060000}"/>
    <cellStyle name="Normal 415" xfId="1707" xr:uid="{00000000-0005-0000-0000-00008F060000}"/>
    <cellStyle name="Normal 416" xfId="1708" xr:uid="{00000000-0005-0000-0000-000090060000}"/>
    <cellStyle name="Normal 417" xfId="1709" xr:uid="{00000000-0005-0000-0000-000091060000}"/>
    <cellStyle name="Normal 418" xfId="1710" xr:uid="{00000000-0005-0000-0000-000092060000}"/>
    <cellStyle name="Normal 419" xfId="1711" xr:uid="{00000000-0005-0000-0000-000093060000}"/>
    <cellStyle name="Normal 42" xfId="1712" xr:uid="{00000000-0005-0000-0000-000094060000}"/>
    <cellStyle name="Normal 420" xfId="1713" xr:uid="{00000000-0005-0000-0000-000095060000}"/>
    <cellStyle name="Normal 421" xfId="1714" xr:uid="{00000000-0005-0000-0000-000096060000}"/>
    <cellStyle name="Normal 422" xfId="1715" xr:uid="{00000000-0005-0000-0000-000097060000}"/>
    <cellStyle name="Normal 423" xfId="1716" xr:uid="{00000000-0005-0000-0000-000098060000}"/>
    <cellStyle name="Normal 424" xfId="1717" xr:uid="{00000000-0005-0000-0000-000099060000}"/>
    <cellStyle name="Normal 425" xfId="1718" xr:uid="{00000000-0005-0000-0000-00009A060000}"/>
    <cellStyle name="Normal 426" xfId="1719" xr:uid="{00000000-0005-0000-0000-00009B060000}"/>
    <cellStyle name="Normal 427" xfId="1720" xr:uid="{00000000-0005-0000-0000-00009C060000}"/>
    <cellStyle name="Normal 428" xfId="1721" xr:uid="{00000000-0005-0000-0000-00009D060000}"/>
    <cellStyle name="Normal 429" xfId="1722" xr:uid="{00000000-0005-0000-0000-00009E060000}"/>
    <cellStyle name="Normal 43" xfId="1723" xr:uid="{00000000-0005-0000-0000-00009F060000}"/>
    <cellStyle name="Normal 430" xfId="1724" xr:uid="{00000000-0005-0000-0000-0000A0060000}"/>
    <cellStyle name="Normal 431" xfId="1725" xr:uid="{00000000-0005-0000-0000-0000A1060000}"/>
    <cellStyle name="Normal 432" xfId="1726" xr:uid="{00000000-0005-0000-0000-0000A2060000}"/>
    <cellStyle name="Normal 433" xfId="1727" xr:uid="{00000000-0005-0000-0000-0000A3060000}"/>
    <cellStyle name="Normal 434" xfId="1728" xr:uid="{00000000-0005-0000-0000-0000A4060000}"/>
    <cellStyle name="Normal 435" xfId="1729" xr:uid="{00000000-0005-0000-0000-0000A5060000}"/>
    <cellStyle name="Normal 436" xfId="1730" xr:uid="{00000000-0005-0000-0000-0000A6060000}"/>
    <cellStyle name="Normal 437" xfId="1731" xr:uid="{00000000-0005-0000-0000-0000A7060000}"/>
    <cellStyle name="Normal 438" xfId="1732" xr:uid="{00000000-0005-0000-0000-0000A8060000}"/>
    <cellStyle name="Normal 439" xfId="1733" xr:uid="{00000000-0005-0000-0000-0000A9060000}"/>
    <cellStyle name="Normal 44" xfId="1734" xr:uid="{00000000-0005-0000-0000-0000AA060000}"/>
    <cellStyle name="Normal 440" xfId="1735" xr:uid="{00000000-0005-0000-0000-0000AB060000}"/>
    <cellStyle name="Normal 441" xfId="1736" xr:uid="{00000000-0005-0000-0000-0000AC060000}"/>
    <cellStyle name="Normal 442" xfId="1737" xr:uid="{00000000-0005-0000-0000-0000AD060000}"/>
    <cellStyle name="Normal 443" xfId="1738" xr:uid="{00000000-0005-0000-0000-0000AE060000}"/>
    <cellStyle name="Normal 444" xfId="1739" xr:uid="{00000000-0005-0000-0000-0000AF060000}"/>
    <cellStyle name="Normal 445" xfId="1740" xr:uid="{00000000-0005-0000-0000-0000B0060000}"/>
    <cellStyle name="Normal 446" xfId="1741" xr:uid="{00000000-0005-0000-0000-0000B1060000}"/>
    <cellStyle name="Normal 447" xfId="1742" xr:uid="{00000000-0005-0000-0000-0000B2060000}"/>
    <cellStyle name="Normal 448" xfId="1743" xr:uid="{00000000-0005-0000-0000-0000B3060000}"/>
    <cellStyle name="Normal 449" xfId="1744" xr:uid="{00000000-0005-0000-0000-0000B4060000}"/>
    <cellStyle name="Normal 45" xfId="1745" xr:uid="{00000000-0005-0000-0000-0000B5060000}"/>
    <cellStyle name="Normal 45 2" xfId="1746" xr:uid="{00000000-0005-0000-0000-0000B6060000}"/>
    <cellStyle name="Normal 45 3" xfId="1747" xr:uid="{00000000-0005-0000-0000-0000B7060000}"/>
    <cellStyle name="Normal 450" xfId="1748" xr:uid="{00000000-0005-0000-0000-0000B8060000}"/>
    <cellStyle name="Normal 451" xfId="1749" xr:uid="{00000000-0005-0000-0000-0000B9060000}"/>
    <cellStyle name="Normal 452" xfId="1750" xr:uid="{00000000-0005-0000-0000-0000BA060000}"/>
    <cellStyle name="Normal 453" xfId="1751" xr:uid="{00000000-0005-0000-0000-0000BB060000}"/>
    <cellStyle name="Normal 454" xfId="1752" xr:uid="{00000000-0005-0000-0000-0000BC060000}"/>
    <cellStyle name="Normal 455" xfId="1753" xr:uid="{00000000-0005-0000-0000-0000BD060000}"/>
    <cellStyle name="Normal 456" xfId="1754" xr:uid="{00000000-0005-0000-0000-0000BE060000}"/>
    <cellStyle name="Normal 457" xfId="1755" xr:uid="{00000000-0005-0000-0000-0000BF060000}"/>
    <cellStyle name="Normal 458" xfId="1756" xr:uid="{00000000-0005-0000-0000-0000C0060000}"/>
    <cellStyle name="Normal 459" xfId="1757" xr:uid="{00000000-0005-0000-0000-0000C1060000}"/>
    <cellStyle name="Normal 46" xfId="1758" xr:uid="{00000000-0005-0000-0000-0000C2060000}"/>
    <cellStyle name="Normal 460" xfId="1759" xr:uid="{00000000-0005-0000-0000-0000C3060000}"/>
    <cellStyle name="Normal 461" xfId="1760" xr:uid="{00000000-0005-0000-0000-0000C4060000}"/>
    <cellStyle name="Normal 462" xfId="1761" xr:uid="{00000000-0005-0000-0000-0000C5060000}"/>
    <cellStyle name="Normal 463" xfId="1762" xr:uid="{00000000-0005-0000-0000-0000C6060000}"/>
    <cellStyle name="Normal 464" xfId="1763" xr:uid="{00000000-0005-0000-0000-0000C7060000}"/>
    <cellStyle name="Normal 465" xfId="1764" xr:uid="{00000000-0005-0000-0000-0000C8060000}"/>
    <cellStyle name="Normal 466" xfId="1765" xr:uid="{00000000-0005-0000-0000-0000C9060000}"/>
    <cellStyle name="Normal 467" xfId="1766" xr:uid="{00000000-0005-0000-0000-0000CA060000}"/>
    <cellStyle name="Normal 468" xfId="1767" xr:uid="{00000000-0005-0000-0000-0000CB060000}"/>
    <cellStyle name="Normal 469" xfId="1768" xr:uid="{00000000-0005-0000-0000-0000CC060000}"/>
    <cellStyle name="Normal 47" xfId="1769" xr:uid="{00000000-0005-0000-0000-0000CD060000}"/>
    <cellStyle name="Normal 470" xfId="1770" xr:uid="{00000000-0005-0000-0000-0000CE060000}"/>
    <cellStyle name="Normal 471" xfId="1771" xr:uid="{00000000-0005-0000-0000-0000CF060000}"/>
    <cellStyle name="Normal 472" xfId="1772" xr:uid="{00000000-0005-0000-0000-0000D0060000}"/>
    <cellStyle name="Normal 473" xfId="1773" xr:uid="{00000000-0005-0000-0000-0000D1060000}"/>
    <cellStyle name="Normal 474" xfId="1774" xr:uid="{00000000-0005-0000-0000-0000D2060000}"/>
    <cellStyle name="Normal 475" xfId="1775" xr:uid="{00000000-0005-0000-0000-0000D3060000}"/>
    <cellStyle name="Normal 476" xfId="1776" xr:uid="{00000000-0005-0000-0000-0000D4060000}"/>
    <cellStyle name="Normal 477" xfId="1777" xr:uid="{00000000-0005-0000-0000-0000D5060000}"/>
    <cellStyle name="Normal 478" xfId="1778" xr:uid="{00000000-0005-0000-0000-0000D6060000}"/>
    <cellStyle name="Normal 479" xfId="1779" xr:uid="{00000000-0005-0000-0000-0000D7060000}"/>
    <cellStyle name="Normal 48" xfId="1780" xr:uid="{00000000-0005-0000-0000-0000D8060000}"/>
    <cellStyle name="Normal 480" xfId="1781" xr:uid="{00000000-0005-0000-0000-0000D9060000}"/>
    <cellStyle name="Normal 481" xfId="1782" xr:uid="{00000000-0005-0000-0000-0000DA060000}"/>
    <cellStyle name="Normal 482" xfId="1783" xr:uid="{00000000-0005-0000-0000-0000DB060000}"/>
    <cellStyle name="Normal 483" xfId="1784" xr:uid="{00000000-0005-0000-0000-0000DC060000}"/>
    <cellStyle name="Normal 484" xfId="1785" xr:uid="{00000000-0005-0000-0000-0000DD060000}"/>
    <cellStyle name="Normal 485" xfId="1786" xr:uid="{00000000-0005-0000-0000-0000DE060000}"/>
    <cellStyle name="Normal 486" xfId="1787" xr:uid="{00000000-0005-0000-0000-0000DF060000}"/>
    <cellStyle name="Normal 487" xfId="1788" xr:uid="{00000000-0005-0000-0000-0000E0060000}"/>
    <cellStyle name="Normal 488" xfId="1789" xr:uid="{00000000-0005-0000-0000-0000E1060000}"/>
    <cellStyle name="Normal 489" xfId="1790" xr:uid="{00000000-0005-0000-0000-0000E2060000}"/>
    <cellStyle name="Normal 49" xfId="1791" xr:uid="{00000000-0005-0000-0000-0000E3060000}"/>
    <cellStyle name="Normal 490" xfId="1792" xr:uid="{00000000-0005-0000-0000-0000E4060000}"/>
    <cellStyle name="Normal 491" xfId="1793" xr:uid="{00000000-0005-0000-0000-0000E5060000}"/>
    <cellStyle name="Normal 492" xfId="1794" xr:uid="{00000000-0005-0000-0000-0000E6060000}"/>
    <cellStyle name="Normal 493" xfId="1795" xr:uid="{00000000-0005-0000-0000-0000E7060000}"/>
    <cellStyle name="Normal 494" xfId="1796" xr:uid="{00000000-0005-0000-0000-0000E8060000}"/>
    <cellStyle name="Normal 495" xfId="1797" xr:uid="{00000000-0005-0000-0000-0000E9060000}"/>
    <cellStyle name="Normal 496" xfId="1798" xr:uid="{00000000-0005-0000-0000-0000EA060000}"/>
    <cellStyle name="Normal 497" xfId="1799" xr:uid="{00000000-0005-0000-0000-0000EB060000}"/>
    <cellStyle name="Normal 498" xfId="1800" xr:uid="{00000000-0005-0000-0000-0000EC060000}"/>
    <cellStyle name="Normal 499" xfId="1801" xr:uid="{00000000-0005-0000-0000-0000ED060000}"/>
    <cellStyle name="Normal 5" xfId="48" xr:uid="{00000000-0005-0000-0000-0000EE060000}"/>
    <cellStyle name="Normal 5 2" xfId="65" xr:uid="{00000000-0005-0000-0000-0000EF060000}"/>
    <cellStyle name="Normal 5 2 2" xfId="1802" xr:uid="{00000000-0005-0000-0000-0000F0060000}"/>
    <cellStyle name="Normal 5 2 3" xfId="1803" xr:uid="{00000000-0005-0000-0000-0000F1060000}"/>
    <cellStyle name="Normal 5 2 4" xfId="1804" xr:uid="{00000000-0005-0000-0000-0000F2060000}"/>
    <cellStyle name="Normal 5 3" xfId="141" xr:uid="{00000000-0005-0000-0000-0000F3060000}"/>
    <cellStyle name="Normal 5 3 2" xfId="1805" xr:uid="{00000000-0005-0000-0000-0000F4060000}"/>
    <cellStyle name="Normal 5 3 3" xfId="1806" xr:uid="{00000000-0005-0000-0000-0000F5060000}"/>
    <cellStyle name="Normal 5 3 4" xfId="1807" xr:uid="{00000000-0005-0000-0000-0000F6060000}"/>
    <cellStyle name="Normal 5 4" xfId="1808" xr:uid="{00000000-0005-0000-0000-0000F7060000}"/>
    <cellStyle name="Normal 5 5" xfId="1809" xr:uid="{00000000-0005-0000-0000-0000F8060000}"/>
    <cellStyle name="Normal 5 6" xfId="1810" xr:uid="{00000000-0005-0000-0000-0000F9060000}"/>
    <cellStyle name="Normal 5 7" xfId="1811" xr:uid="{00000000-0005-0000-0000-0000FA060000}"/>
    <cellStyle name="Normal 5_Sheet1" xfId="128" xr:uid="{00000000-0005-0000-0000-0000FB060000}"/>
    <cellStyle name="Normal 50" xfId="1812" xr:uid="{00000000-0005-0000-0000-0000FC060000}"/>
    <cellStyle name="Normal 500" xfId="1813" xr:uid="{00000000-0005-0000-0000-0000FD060000}"/>
    <cellStyle name="Normal 501" xfId="1814" xr:uid="{00000000-0005-0000-0000-0000FE060000}"/>
    <cellStyle name="Normal 502" xfId="1815" xr:uid="{00000000-0005-0000-0000-0000FF060000}"/>
    <cellStyle name="Normal 503" xfId="1816" xr:uid="{00000000-0005-0000-0000-000000070000}"/>
    <cellStyle name="Normal 504" xfId="1817" xr:uid="{00000000-0005-0000-0000-000001070000}"/>
    <cellStyle name="Normal 505" xfId="1818" xr:uid="{00000000-0005-0000-0000-000002070000}"/>
    <cellStyle name="Normal 506" xfId="1819" xr:uid="{00000000-0005-0000-0000-000003070000}"/>
    <cellStyle name="Normal 507" xfId="1820" xr:uid="{00000000-0005-0000-0000-000004070000}"/>
    <cellStyle name="Normal 508" xfId="1821" xr:uid="{00000000-0005-0000-0000-000005070000}"/>
    <cellStyle name="Normal 509" xfId="1822" xr:uid="{00000000-0005-0000-0000-000006070000}"/>
    <cellStyle name="Normal 51" xfId="1823" xr:uid="{00000000-0005-0000-0000-000007070000}"/>
    <cellStyle name="Normal 510" xfId="1824" xr:uid="{00000000-0005-0000-0000-000008070000}"/>
    <cellStyle name="Normal 511" xfId="1825" xr:uid="{00000000-0005-0000-0000-000009070000}"/>
    <cellStyle name="Normal 512" xfId="1826" xr:uid="{00000000-0005-0000-0000-00000A070000}"/>
    <cellStyle name="Normal 513" xfId="1827" xr:uid="{00000000-0005-0000-0000-00000B070000}"/>
    <cellStyle name="Normal 514" xfId="1828" xr:uid="{00000000-0005-0000-0000-00000C070000}"/>
    <cellStyle name="Normal 515" xfId="1829" xr:uid="{00000000-0005-0000-0000-00000D070000}"/>
    <cellStyle name="Normal 516" xfId="1830" xr:uid="{00000000-0005-0000-0000-00000E070000}"/>
    <cellStyle name="Normal 517" xfId="1831" xr:uid="{00000000-0005-0000-0000-00000F070000}"/>
    <cellStyle name="Normal 518" xfId="1832" xr:uid="{00000000-0005-0000-0000-000010070000}"/>
    <cellStyle name="Normal 519" xfId="1833" xr:uid="{00000000-0005-0000-0000-000011070000}"/>
    <cellStyle name="Normal 52" xfId="1834" xr:uid="{00000000-0005-0000-0000-000012070000}"/>
    <cellStyle name="Normal 520" xfId="1835" xr:uid="{00000000-0005-0000-0000-000013070000}"/>
    <cellStyle name="Normal 521" xfId="1836" xr:uid="{00000000-0005-0000-0000-000014070000}"/>
    <cellStyle name="Normal 522" xfId="1837" xr:uid="{00000000-0005-0000-0000-000015070000}"/>
    <cellStyle name="Normal 523" xfId="1838" xr:uid="{00000000-0005-0000-0000-000016070000}"/>
    <cellStyle name="Normal 524" xfId="1839" xr:uid="{00000000-0005-0000-0000-000017070000}"/>
    <cellStyle name="Normal 525" xfId="1840" xr:uid="{00000000-0005-0000-0000-000018070000}"/>
    <cellStyle name="Normal 526" xfId="1841" xr:uid="{00000000-0005-0000-0000-000019070000}"/>
    <cellStyle name="Normal 527" xfId="1842" xr:uid="{00000000-0005-0000-0000-00001A070000}"/>
    <cellStyle name="Normal 528" xfId="1843" xr:uid="{00000000-0005-0000-0000-00001B070000}"/>
    <cellStyle name="Normal 529" xfId="1844" xr:uid="{00000000-0005-0000-0000-00001C070000}"/>
    <cellStyle name="Normal 53" xfId="1845" xr:uid="{00000000-0005-0000-0000-00001D070000}"/>
    <cellStyle name="Normal 530" xfId="1846" xr:uid="{00000000-0005-0000-0000-00001E070000}"/>
    <cellStyle name="Normal 531" xfId="1847" xr:uid="{00000000-0005-0000-0000-00001F070000}"/>
    <cellStyle name="Normal 532" xfId="1848" xr:uid="{00000000-0005-0000-0000-000020070000}"/>
    <cellStyle name="Normal 533" xfId="1849" xr:uid="{00000000-0005-0000-0000-000021070000}"/>
    <cellStyle name="Normal 534" xfId="1850" xr:uid="{00000000-0005-0000-0000-000022070000}"/>
    <cellStyle name="Normal 535" xfId="1851" xr:uid="{00000000-0005-0000-0000-000023070000}"/>
    <cellStyle name="Normal 536" xfId="1852" xr:uid="{00000000-0005-0000-0000-000024070000}"/>
    <cellStyle name="Normal 537" xfId="1853" xr:uid="{00000000-0005-0000-0000-000025070000}"/>
    <cellStyle name="Normal 538" xfId="1854" xr:uid="{00000000-0005-0000-0000-000026070000}"/>
    <cellStyle name="Normal 539" xfId="1855" xr:uid="{00000000-0005-0000-0000-000027070000}"/>
    <cellStyle name="Normal 54" xfId="1856" xr:uid="{00000000-0005-0000-0000-000028070000}"/>
    <cellStyle name="Normal 540" xfId="1857" xr:uid="{00000000-0005-0000-0000-000029070000}"/>
    <cellStyle name="Normal 541" xfId="1858" xr:uid="{00000000-0005-0000-0000-00002A070000}"/>
    <cellStyle name="Normal 542" xfId="1859" xr:uid="{00000000-0005-0000-0000-00002B070000}"/>
    <cellStyle name="Normal 543" xfId="1860" xr:uid="{00000000-0005-0000-0000-00002C070000}"/>
    <cellStyle name="Normal 544" xfId="1861" xr:uid="{00000000-0005-0000-0000-00002D070000}"/>
    <cellStyle name="Normal 545" xfId="1862" xr:uid="{00000000-0005-0000-0000-00002E070000}"/>
    <cellStyle name="Normal 546" xfId="1863" xr:uid="{00000000-0005-0000-0000-00002F070000}"/>
    <cellStyle name="Normal 547" xfId="1864" xr:uid="{00000000-0005-0000-0000-000030070000}"/>
    <cellStyle name="Normal 548" xfId="1865" xr:uid="{00000000-0005-0000-0000-000031070000}"/>
    <cellStyle name="Normal 549" xfId="1866" xr:uid="{00000000-0005-0000-0000-000032070000}"/>
    <cellStyle name="Normal 55" xfId="1867" xr:uid="{00000000-0005-0000-0000-000033070000}"/>
    <cellStyle name="Normal 550" xfId="1868" xr:uid="{00000000-0005-0000-0000-000034070000}"/>
    <cellStyle name="Normal 551" xfId="1869" xr:uid="{00000000-0005-0000-0000-000035070000}"/>
    <cellStyle name="Normal 552" xfId="1870" xr:uid="{00000000-0005-0000-0000-000036070000}"/>
    <cellStyle name="Normal 553" xfId="1871" xr:uid="{00000000-0005-0000-0000-000037070000}"/>
    <cellStyle name="Normal 554" xfId="1872" xr:uid="{00000000-0005-0000-0000-000038070000}"/>
    <cellStyle name="Normal 555" xfId="1873" xr:uid="{00000000-0005-0000-0000-000039070000}"/>
    <cellStyle name="Normal 556" xfId="1874" xr:uid="{00000000-0005-0000-0000-00003A070000}"/>
    <cellStyle name="Normal 557" xfId="1875" xr:uid="{00000000-0005-0000-0000-00003B070000}"/>
    <cellStyle name="Normal 558" xfId="1876" xr:uid="{00000000-0005-0000-0000-00003C070000}"/>
    <cellStyle name="Normal 559" xfId="1877" xr:uid="{00000000-0005-0000-0000-00003D070000}"/>
    <cellStyle name="Normal 56" xfId="1878" xr:uid="{00000000-0005-0000-0000-00003E070000}"/>
    <cellStyle name="Normal 560" xfId="1879" xr:uid="{00000000-0005-0000-0000-00003F070000}"/>
    <cellStyle name="Normal 561" xfId="1880" xr:uid="{00000000-0005-0000-0000-000040070000}"/>
    <cellStyle name="Normal 562" xfId="1881" xr:uid="{00000000-0005-0000-0000-000041070000}"/>
    <cellStyle name="Normal 563" xfId="1882" xr:uid="{00000000-0005-0000-0000-000042070000}"/>
    <cellStyle name="Normal 564" xfId="1883" xr:uid="{00000000-0005-0000-0000-000043070000}"/>
    <cellStyle name="Normal 565" xfId="1884" xr:uid="{00000000-0005-0000-0000-000044070000}"/>
    <cellStyle name="Normal 566" xfId="1885" xr:uid="{00000000-0005-0000-0000-000045070000}"/>
    <cellStyle name="Normal 567" xfId="1886" xr:uid="{00000000-0005-0000-0000-000046070000}"/>
    <cellStyle name="Normal 568" xfId="1887" xr:uid="{00000000-0005-0000-0000-000047070000}"/>
    <cellStyle name="Normal 569" xfId="1888" xr:uid="{00000000-0005-0000-0000-000048070000}"/>
    <cellStyle name="Normal 57" xfId="1889" xr:uid="{00000000-0005-0000-0000-000049070000}"/>
    <cellStyle name="Normal 570" xfId="1890" xr:uid="{00000000-0005-0000-0000-00004A070000}"/>
    <cellStyle name="Normal 571" xfId="1891" xr:uid="{00000000-0005-0000-0000-00004B070000}"/>
    <cellStyle name="Normal 572" xfId="1892" xr:uid="{00000000-0005-0000-0000-00004C070000}"/>
    <cellStyle name="Normal 573" xfId="1893" xr:uid="{00000000-0005-0000-0000-00004D070000}"/>
    <cellStyle name="Normal 574" xfId="1894" xr:uid="{00000000-0005-0000-0000-00004E070000}"/>
    <cellStyle name="Normal 575" xfId="1895" xr:uid="{00000000-0005-0000-0000-00004F070000}"/>
    <cellStyle name="Normal 576" xfId="1896" xr:uid="{00000000-0005-0000-0000-000050070000}"/>
    <cellStyle name="Normal 577" xfId="1897" xr:uid="{00000000-0005-0000-0000-000051070000}"/>
    <cellStyle name="Normal 578" xfId="1898" xr:uid="{00000000-0005-0000-0000-000052070000}"/>
    <cellStyle name="Normal 579" xfId="1899" xr:uid="{00000000-0005-0000-0000-000053070000}"/>
    <cellStyle name="Normal 58" xfId="1900" xr:uid="{00000000-0005-0000-0000-000054070000}"/>
    <cellStyle name="Normal 580" xfId="1901" xr:uid="{00000000-0005-0000-0000-000055070000}"/>
    <cellStyle name="Normal 581" xfId="1902" xr:uid="{00000000-0005-0000-0000-000056070000}"/>
    <cellStyle name="Normal 582" xfId="1903" xr:uid="{00000000-0005-0000-0000-000057070000}"/>
    <cellStyle name="Normal 583" xfId="1904" xr:uid="{00000000-0005-0000-0000-000058070000}"/>
    <cellStyle name="Normal 584" xfId="1905" xr:uid="{00000000-0005-0000-0000-000059070000}"/>
    <cellStyle name="Normal 585" xfId="1906" xr:uid="{00000000-0005-0000-0000-00005A070000}"/>
    <cellStyle name="Normal 586" xfId="1907" xr:uid="{00000000-0005-0000-0000-00005B070000}"/>
    <cellStyle name="Normal 587" xfId="1908" xr:uid="{00000000-0005-0000-0000-00005C070000}"/>
    <cellStyle name="Normal 588" xfId="1909" xr:uid="{00000000-0005-0000-0000-00005D070000}"/>
    <cellStyle name="Normal 589" xfId="1910" xr:uid="{00000000-0005-0000-0000-00005E070000}"/>
    <cellStyle name="Normal 59" xfId="1911" xr:uid="{00000000-0005-0000-0000-00005F070000}"/>
    <cellStyle name="Normal 590" xfId="1912" xr:uid="{00000000-0005-0000-0000-000060070000}"/>
    <cellStyle name="Normal 591" xfId="1913" xr:uid="{00000000-0005-0000-0000-000061070000}"/>
    <cellStyle name="Normal 592" xfId="1914" xr:uid="{00000000-0005-0000-0000-000062070000}"/>
    <cellStyle name="Normal 593" xfId="1915" xr:uid="{00000000-0005-0000-0000-000063070000}"/>
    <cellStyle name="Normal 594" xfId="1916" xr:uid="{00000000-0005-0000-0000-000064070000}"/>
    <cellStyle name="Normal 595" xfId="1917" xr:uid="{00000000-0005-0000-0000-000065070000}"/>
    <cellStyle name="Normal 596" xfId="1918" xr:uid="{00000000-0005-0000-0000-000066070000}"/>
    <cellStyle name="Normal 597" xfId="1919" xr:uid="{00000000-0005-0000-0000-000067070000}"/>
    <cellStyle name="Normal 598" xfId="1920" xr:uid="{00000000-0005-0000-0000-000068070000}"/>
    <cellStyle name="Normal 599" xfId="1921" xr:uid="{00000000-0005-0000-0000-000069070000}"/>
    <cellStyle name="Normal 6" xfId="49" xr:uid="{00000000-0005-0000-0000-00006A070000}"/>
    <cellStyle name="Normal 6 2" xfId="66" xr:uid="{00000000-0005-0000-0000-00006B070000}"/>
    <cellStyle name="Normal 6 2 2" xfId="1922" xr:uid="{00000000-0005-0000-0000-00006C070000}"/>
    <cellStyle name="Normal 6 2 3" xfId="1923" xr:uid="{00000000-0005-0000-0000-00006D070000}"/>
    <cellStyle name="Normal 6 2 4" xfId="1924" xr:uid="{00000000-0005-0000-0000-00006E070000}"/>
    <cellStyle name="Normal 6 3" xfId="142" xr:uid="{00000000-0005-0000-0000-00006F070000}"/>
    <cellStyle name="Normal 6 3 2" xfId="1925" xr:uid="{00000000-0005-0000-0000-000070070000}"/>
    <cellStyle name="Normal 6 3 3" xfId="1926" xr:uid="{00000000-0005-0000-0000-000071070000}"/>
    <cellStyle name="Normal 6 3 4" xfId="1927" xr:uid="{00000000-0005-0000-0000-000072070000}"/>
    <cellStyle name="Normal 6 4" xfId="1928" xr:uid="{00000000-0005-0000-0000-000073070000}"/>
    <cellStyle name="Normal 6 5" xfId="1929" xr:uid="{00000000-0005-0000-0000-000074070000}"/>
    <cellStyle name="Normal 6 6" xfId="1930" xr:uid="{00000000-0005-0000-0000-000075070000}"/>
    <cellStyle name="Normal 6 7" xfId="1931" xr:uid="{00000000-0005-0000-0000-000076070000}"/>
    <cellStyle name="Normal 6_Sheet1" xfId="130" xr:uid="{00000000-0005-0000-0000-000077070000}"/>
    <cellStyle name="Normal 60" xfId="1932" xr:uid="{00000000-0005-0000-0000-000078070000}"/>
    <cellStyle name="Normal 600" xfId="1933" xr:uid="{00000000-0005-0000-0000-000079070000}"/>
    <cellStyle name="Normal 601" xfId="1934" xr:uid="{00000000-0005-0000-0000-00007A070000}"/>
    <cellStyle name="Normal 602" xfId="1935" xr:uid="{00000000-0005-0000-0000-00007B070000}"/>
    <cellStyle name="Normal 603" xfId="1936" xr:uid="{00000000-0005-0000-0000-00007C070000}"/>
    <cellStyle name="Normal 604" xfId="1937" xr:uid="{00000000-0005-0000-0000-00007D070000}"/>
    <cellStyle name="Normal 605" xfId="1938" xr:uid="{00000000-0005-0000-0000-00007E070000}"/>
    <cellStyle name="Normal 606" xfId="1939" xr:uid="{00000000-0005-0000-0000-00007F070000}"/>
    <cellStyle name="Normal 607" xfId="1940" xr:uid="{00000000-0005-0000-0000-000080070000}"/>
    <cellStyle name="Normal 608" xfId="1941" xr:uid="{00000000-0005-0000-0000-000081070000}"/>
    <cellStyle name="Normal 609" xfId="1942" xr:uid="{00000000-0005-0000-0000-000082070000}"/>
    <cellStyle name="Normal 61" xfId="1943" xr:uid="{00000000-0005-0000-0000-000083070000}"/>
    <cellStyle name="Normal 610" xfId="1944" xr:uid="{00000000-0005-0000-0000-000084070000}"/>
    <cellStyle name="Normal 611" xfId="1945" xr:uid="{00000000-0005-0000-0000-000085070000}"/>
    <cellStyle name="Normal 612" xfId="1946" xr:uid="{00000000-0005-0000-0000-000086070000}"/>
    <cellStyle name="Normal 613" xfId="1947" xr:uid="{00000000-0005-0000-0000-000087070000}"/>
    <cellStyle name="Normal 614" xfId="1948" xr:uid="{00000000-0005-0000-0000-000088070000}"/>
    <cellStyle name="Normal 615" xfId="1949" xr:uid="{00000000-0005-0000-0000-000089070000}"/>
    <cellStyle name="Normal 616" xfId="1950" xr:uid="{00000000-0005-0000-0000-00008A070000}"/>
    <cellStyle name="Normal 617" xfId="1951" xr:uid="{00000000-0005-0000-0000-00008B070000}"/>
    <cellStyle name="Normal 618" xfId="1952" xr:uid="{00000000-0005-0000-0000-00008C070000}"/>
    <cellStyle name="Normal 619" xfId="1953" xr:uid="{00000000-0005-0000-0000-00008D070000}"/>
    <cellStyle name="Normal 62" xfId="1954" xr:uid="{00000000-0005-0000-0000-00008E070000}"/>
    <cellStyle name="Normal 620" xfId="1955" xr:uid="{00000000-0005-0000-0000-00008F070000}"/>
    <cellStyle name="Normal 621" xfId="1956" xr:uid="{00000000-0005-0000-0000-000090070000}"/>
    <cellStyle name="Normal 622" xfId="1957" xr:uid="{00000000-0005-0000-0000-000091070000}"/>
    <cellStyle name="Normal 623" xfId="1958" xr:uid="{00000000-0005-0000-0000-000092070000}"/>
    <cellStyle name="Normal 624" xfId="1959" xr:uid="{00000000-0005-0000-0000-000093070000}"/>
    <cellStyle name="Normal 625" xfId="1960" xr:uid="{00000000-0005-0000-0000-000094070000}"/>
    <cellStyle name="Normal 626" xfId="1961" xr:uid="{00000000-0005-0000-0000-000095070000}"/>
    <cellStyle name="Normal 627" xfId="1962" xr:uid="{00000000-0005-0000-0000-000096070000}"/>
    <cellStyle name="Normal 628" xfId="1963" xr:uid="{00000000-0005-0000-0000-000097070000}"/>
    <cellStyle name="Normal 629" xfId="1964" xr:uid="{00000000-0005-0000-0000-000098070000}"/>
    <cellStyle name="Normal 63" xfId="1965" xr:uid="{00000000-0005-0000-0000-000099070000}"/>
    <cellStyle name="Normal 630" xfId="1966" xr:uid="{00000000-0005-0000-0000-00009A070000}"/>
    <cellStyle name="Normal 631" xfId="1967" xr:uid="{00000000-0005-0000-0000-00009B070000}"/>
    <cellStyle name="Normal 632" xfId="1968" xr:uid="{00000000-0005-0000-0000-00009C070000}"/>
    <cellStyle name="Normal 633" xfId="1969" xr:uid="{00000000-0005-0000-0000-00009D070000}"/>
    <cellStyle name="Normal 634" xfId="1970" xr:uid="{00000000-0005-0000-0000-00009E070000}"/>
    <cellStyle name="Normal 635" xfId="1971" xr:uid="{00000000-0005-0000-0000-00009F070000}"/>
    <cellStyle name="Normal 636" xfId="1972" xr:uid="{00000000-0005-0000-0000-0000A0070000}"/>
    <cellStyle name="Normal 637" xfId="1973" xr:uid="{00000000-0005-0000-0000-0000A1070000}"/>
    <cellStyle name="Normal 638" xfId="1974" xr:uid="{00000000-0005-0000-0000-0000A2070000}"/>
    <cellStyle name="Normal 639" xfId="1975" xr:uid="{00000000-0005-0000-0000-0000A3070000}"/>
    <cellStyle name="Normal 64" xfId="1976" xr:uid="{00000000-0005-0000-0000-0000A4070000}"/>
    <cellStyle name="Normal 640" xfId="1977" xr:uid="{00000000-0005-0000-0000-0000A5070000}"/>
    <cellStyle name="Normal 641" xfId="1978" xr:uid="{00000000-0005-0000-0000-0000A6070000}"/>
    <cellStyle name="Normal 642" xfId="1979" xr:uid="{00000000-0005-0000-0000-0000A7070000}"/>
    <cellStyle name="Normal 643" xfId="1980" xr:uid="{00000000-0005-0000-0000-0000A8070000}"/>
    <cellStyle name="Normal 644" xfId="1981" xr:uid="{00000000-0005-0000-0000-0000A9070000}"/>
    <cellStyle name="Normal 645" xfId="1982" xr:uid="{00000000-0005-0000-0000-0000AA070000}"/>
    <cellStyle name="Normal 646" xfId="1983" xr:uid="{00000000-0005-0000-0000-0000AB070000}"/>
    <cellStyle name="Normal 647" xfId="1984" xr:uid="{00000000-0005-0000-0000-0000AC070000}"/>
    <cellStyle name="Normal 648" xfId="1985" xr:uid="{00000000-0005-0000-0000-0000AD070000}"/>
    <cellStyle name="Normal 649" xfId="1986" xr:uid="{00000000-0005-0000-0000-0000AE070000}"/>
    <cellStyle name="Normal 65" xfId="1987" xr:uid="{00000000-0005-0000-0000-0000AF070000}"/>
    <cellStyle name="Normal 650" xfId="1988" xr:uid="{00000000-0005-0000-0000-0000B0070000}"/>
    <cellStyle name="Normal 651" xfId="1989" xr:uid="{00000000-0005-0000-0000-0000B1070000}"/>
    <cellStyle name="Normal 652" xfId="1990" xr:uid="{00000000-0005-0000-0000-0000B2070000}"/>
    <cellStyle name="Normal 653" xfId="1991" xr:uid="{00000000-0005-0000-0000-0000B3070000}"/>
    <cellStyle name="Normal 654" xfId="1992" xr:uid="{00000000-0005-0000-0000-0000B4070000}"/>
    <cellStyle name="Normal 655" xfId="1993" xr:uid="{00000000-0005-0000-0000-0000B5070000}"/>
    <cellStyle name="Normal 656" xfId="1994" xr:uid="{00000000-0005-0000-0000-0000B6070000}"/>
    <cellStyle name="Normal 657" xfId="1995" xr:uid="{00000000-0005-0000-0000-0000B7070000}"/>
    <cellStyle name="Normal 658" xfId="1996" xr:uid="{00000000-0005-0000-0000-0000B8070000}"/>
    <cellStyle name="Normal 659" xfId="1997" xr:uid="{00000000-0005-0000-0000-0000B9070000}"/>
    <cellStyle name="Normal 66" xfId="1998" xr:uid="{00000000-0005-0000-0000-0000BA070000}"/>
    <cellStyle name="Normal 660" xfId="1999" xr:uid="{00000000-0005-0000-0000-0000BB070000}"/>
    <cellStyle name="Normal 661" xfId="2000" xr:uid="{00000000-0005-0000-0000-0000BC070000}"/>
    <cellStyle name="Normal 662" xfId="2001" xr:uid="{00000000-0005-0000-0000-0000BD070000}"/>
    <cellStyle name="Normal 663" xfId="2002" xr:uid="{00000000-0005-0000-0000-0000BE070000}"/>
    <cellStyle name="Normal 664" xfId="2003" xr:uid="{00000000-0005-0000-0000-0000BF070000}"/>
    <cellStyle name="Normal 665" xfId="2004" xr:uid="{00000000-0005-0000-0000-0000C0070000}"/>
    <cellStyle name="Normal 666" xfId="2005" xr:uid="{00000000-0005-0000-0000-0000C1070000}"/>
    <cellStyle name="Normal 667" xfId="2006" xr:uid="{00000000-0005-0000-0000-0000C2070000}"/>
    <cellStyle name="Normal 668" xfId="2007" xr:uid="{00000000-0005-0000-0000-0000C3070000}"/>
    <cellStyle name="Normal 669" xfId="2008" xr:uid="{00000000-0005-0000-0000-0000C4070000}"/>
    <cellStyle name="Normal 67" xfId="2009" xr:uid="{00000000-0005-0000-0000-0000C5070000}"/>
    <cellStyle name="Normal 670" xfId="2010" xr:uid="{00000000-0005-0000-0000-0000C6070000}"/>
    <cellStyle name="Normal 671" xfId="2011" xr:uid="{00000000-0005-0000-0000-0000C7070000}"/>
    <cellStyle name="Normal 672" xfId="2012" xr:uid="{00000000-0005-0000-0000-0000C8070000}"/>
    <cellStyle name="Normal 673" xfId="2013" xr:uid="{00000000-0005-0000-0000-0000C9070000}"/>
    <cellStyle name="Normal 674" xfId="2014" xr:uid="{00000000-0005-0000-0000-0000CA070000}"/>
    <cellStyle name="Normal 675" xfId="2015" xr:uid="{00000000-0005-0000-0000-0000CB070000}"/>
    <cellStyle name="Normal 675 2" xfId="2016" xr:uid="{00000000-0005-0000-0000-0000CC070000}"/>
    <cellStyle name="Normal 675 3" xfId="2017" xr:uid="{00000000-0005-0000-0000-0000CD070000}"/>
    <cellStyle name="Normal 676" xfId="2018" xr:uid="{00000000-0005-0000-0000-0000CE070000}"/>
    <cellStyle name="Normal 676 2" xfId="2019" xr:uid="{00000000-0005-0000-0000-0000CF070000}"/>
    <cellStyle name="Normal 676 3" xfId="2020" xr:uid="{00000000-0005-0000-0000-0000D0070000}"/>
    <cellStyle name="Normal 677" xfId="2021" xr:uid="{00000000-0005-0000-0000-0000D1070000}"/>
    <cellStyle name="Normal 677 2" xfId="2022" xr:uid="{00000000-0005-0000-0000-0000D2070000}"/>
    <cellStyle name="Normal 677 3" xfId="2023" xr:uid="{00000000-0005-0000-0000-0000D3070000}"/>
    <cellStyle name="Normal 678" xfId="2024" xr:uid="{00000000-0005-0000-0000-0000D4070000}"/>
    <cellStyle name="Normal 678 2" xfId="2025" xr:uid="{00000000-0005-0000-0000-0000D5070000}"/>
    <cellStyle name="Normal 678 3" xfId="2026" xr:uid="{00000000-0005-0000-0000-0000D6070000}"/>
    <cellStyle name="Normal 679" xfId="2027" xr:uid="{00000000-0005-0000-0000-0000D7070000}"/>
    <cellStyle name="Normal 68" xfId="2028" xr:uid="{00000000-0005-0000-0000-0000D8070000}"/>
    <cellStyle name="Normal 680" xfId="2029" xr:uid="{00000000-0005-0000-0000-0000D9070000}"/>
    <cellStyle name="Normal 681" xfId="2030" xr:uid="{00000000-0005-0000-0000-0000DA070000}"/>
    <cellStyle name="Normal 682" xfId="2031" xr:uid="{00000000-0005-0000-0000-0000DB070000}"/>
    <cellStyle name="Normal 683" xfId="2032" xr:uid="{00000000-0005-0000-0000-0000DC070000}"/>
    <cellStyle name="Normal 684" xfId="2033" xr:uid="{00000000-0005-0000-0000-0000DD070000}"/>
    <cellStyle name="Normal 685" xfId="2034" xr:uid="{00000000-0005-0000-0000-0000DE070000}"/>
    <cellStyle name="Normal 686" xfId="2035" xr:uid="{00000000-0005-0000-0000-0000DF070000}"/>
    <cellStyle name="Normal 687" xfId="2036" xr:uid="{00000000-0005-0000-0000-0000E0070000}"/>
    <cellStyle name="Normal 688" xfId="2037" xr:uid="{00000000-0005-0000-0000-0000E1070000}"/>
    <cellStyle name="Normal 689" xfId="2038" xr:uid="{00000000-0005-0000-0000-0000E2070000}"/>
    <cellStyle name="Normal 69" xfId="2039" xr:uid="{00000000-0005-0000-0000-0000E3070000}"/>
    <cellStyle name="Normal 690" xfId="2040" xr:uid="{00000000-0005-0000-0000-0000E4070000}"/>
    <cellStyle name="Normal 691" xfId="2041" xr:uid="{00000000-0005-0000-0000-0000E5070000}"/>
    <cellStyle name="Normal 692" xfId="2042" xr:uid="{00000000-0005-0000-0000-0000E6070000}"/>
    <cellStyle name="Normal 693" xfId="2043" xr:uid="{00000000-0005-0000-0000-0000E7070000}"/>
    <cellStyle name="Normal 694" xfId="2044" xr:uid="{00000000-0005-0000-0000-0000E8070000}"/>
    <cellStyle name="Normal 695" xfId="2045" xr:uid="{00000000-0005-0000-0000-0000E9070000}"/>
    <cellStyle name="Normal 696" xfId="2046" xr:uid="{00000000-0005-0000-0000-0000EA070000}"/>
    <cellStyle name="Normal 697" xfId="2047" xr:uid="{00000000-0005-0000-0000-0000EB070000}"/>
    <cellStyle name="Normal 698" xfId="2048" xr:uid="{00000000-0005-0000-0000-0000EC070000}"/>
    <cellStyle name="Normal 699" xfId="2049" xr:uid="{00000000-0005-0000-0000-0000ED070000}"/>
    <cellStyle name="Normal 7" xfId="50" xr:uid="{00000000-0005-0000-0000-0000EE070000}"/>
    <cellStyle name="Normal 7 2" xfId="67" xr:uid="{00000000-0005-0000-0000-0000EF070000}"/>
    <cellStyle name="Normal 7 2 2" xfId="2050" xr:uid="{00000000-0005-0000-0000-0000F0070000}"/>
    <cellStyle name="Normal 7 2 3" xfId="2051" xr:uid="{00000000-0005-0000-0000-0000F1070000}"/>
    <cellStyle name="Normal 7 2 4" xfId="2052" xr:uid="{00000000-0005-0000-0000-0000F2070000}"/>
    <cellStyle name="Normal 7 3" xfId="143" xr:uid="{00000000-0005-0000-0000-0000F3070000}"/>
    <cellStyle name="Normal 7 3 2" xfId="2053" xr:uid="{00000000-0005-0000-0000-0000F4070000}"/>
    <cellStyle name="Normal 7 3 3" xfId="2054" xr:uid="{00000000-0005-0000-0000-0000F5070000}"/>
    <cellStyle name="Normal 7 3 4" xfId="2055" xr:uid="{00000000-0005-0000-0000-0000F6070000}"/>
    <cellStyle name="Normal 7 4" xfId="2056" xr:uid="{00000000-0005-0000-0000-0000F7070000}"/>
    <cellStyle name="Normal 7 5" xfId="2057" xr:uid="{00000000-0005-0000-0000-0000F8070000}"/>
    <cellStyle name="Normal 7 6" xfId="2058" xr:uid="{00000000-0005-0000-0000-0000F9070000}"/>
    <cellStyle name="Normal 7 7" xfId="2059" xr:uid="{00000000-0005-0000-0000-0000FA070000}"/>
    <cellStyle name="Normal 7_Sheet1" xfId="124" xr:uid="{00000000-0005-0000-0000-0000FB070000}"/>
    <cellStyle name="Normal 70" xfId="2060" xr:uid="{00000000-0005-0000-0000-0000FC070000}"/>
    <cellStyle name="Normal 700" xfId="2061" xr:uid="{00000000-0005-0000-0000-0000FD070000}"/>
    <cellStyle name="Normal 701" xfId="2062" xr:uid="{00000000-0005-0000-0000-0000FE070000}"/>
    <cellStyle name="Normal 702" xfId="2063" xr:uid="{00000000-0005-0000-0000-0000FF070000}"/>
    <cellStyle name="Normal 703" xfId="2064" xr:uid="{00000000-0005-0000-0000-000000080000}"/>
    <cellStyle name="Normal 704" xfId="2065" xr:uid="{00000000-0005-0000-0000-000001080000}"/>
    <cellStyle name="Normal 705" xfId="2066" xr:uid="{00000000-0005-0000-0000-000002080000}"/>
    <cellStyle name="Normal 706" xfId="2067" xr:uid="{00000000-0005-0000-0000-000003080000}"/>
    <cellStyle name="Normal 707" xfId="2068" xr:uid="{00000000-0005-0000-0000-000004080000}"/>
    <cellStyle name="Normal 708" xfId="2069" xr:uid="{00000000-0005-0000-0000-000005080000}"/>
    <cellStyle name="Normal 709" xfId="2070" xr:uid="{00000000-0005-0000-0000-000006080000}"/>
    <cellStyle name="Normal 71" xfId="2071" xr:uid="{00000000-0005-0000-0000-000007080000}"/>
    <cellStyle name="Normal 710" xfId="2072" xr:uid="{00000000-0005-0000-0000-000008080000}"/>
    <cellStyle name="Normal 711" xfId="2073" xr:uid="{00000000-0005-0000-0000-000009080000}"/>
    <cellStyle name="Normal 712" xfId="2074" xr:uid="{00000000-0005-0000-0000-00000A080000}"/>
    <cellStyle name="Normal 713" xfId="2075" xr:uid="{00000000-0005-0000-0000-00000B080000}"/>
    <cellStyle name="Normal 714" xfId="2076" xr:uid="{00000000-0005-0000-0000-00000C080000}"/>
    <cellStyle name="Normal 715" xfId="2077" xr:uid="{00000000-0005-0000-0000-00000D080000}"/>
    <cellStyle name="Normal 716" xfId="2078" xr:uid="{00000000-0005-0000-0000-00000E080000}"/>
    <cellStyle name="Normal 717" xfId="2079" xr:uid="{00000000-0005-0000-0000-00000F080000}"/>
    <cellStyle name="Normal 718" xfId="2080" xr:uid="{00000000-0005-0000-0000-000010080000}"/>
    <cellStyle name="Normal 719" xfId="2081" xr:uid="{00000000-0005-0000-0000-000011080000}"/>
    <cellStyle name="Normal 72" xfId="2082" xr:uid="{00000000-0005-0000-0000-000012080000}"/>
    <cellStyle name="Normal 720" xfId="2083" xr:uid="{00000000-0005-0000-0000-000013080000}"/>
    <cellStyle name="Normal 721" xfId="2084" xr:uid="{00000000-0005-0000-0000-000014080000}"/>
    <cellStyle name="Normal 722" xfId="2085" xr:uid="{00000000-0005-0000-0000-000015080000}"/>
    <cellStyle name="Normal 723" xfId="2086" xr:uid="{00000000-0005-0000-0000-000016080000}"/>
    <cellStyle name="Normal 724" xfId="2087" xr:uid="{00000000-0005-0000-0000-000017080000}"/>
    <cellStyle name="Normal 725" xfId="2088" xr:uid="{00000000-0005-0000-0000-000018080000}"/>
    <cellStyle name="Normal 726" xfId="2089" xr:uid="{00000000-0005-0000-0000-000019080000}"/>
    <cellStyle name="Normal 727" xfId="2090" xr:uid="{00000000-0005-0000-0000-00001A080000}"/>
    <cellStyle name="Normal 728" xfId="2091" xr:uid="{00000000-0005-0000-0000-00001B080000}"/>
    <cellStyle name="Normal 729" xfId="2092" xr:uid="{00000000-0005-0000-0000-00001C080000}"/>
    <cellStyle name="Normal 73" xfId="2093" xr:uid="{00000000-0005-0000-0000-00001D080000}"/>
    <cellStyle name="Normal 730" xfId="2094" xr:uid="{00000000-0005-0000-0000-00001E080000}"/>
    <cellStyle name="Normal 731" xfId="2095" xr:uid="{00000000-0005-0000-0000-00001F080000}"/>
    <cellStyle name="Normal 732" xfId="2096" xr:uid="{00000000-0005-0000-0000-000020080000}"/>
    <cellStyle name="Normal 733" xfId="2097" xr:uid="{00000000-0005-0000-0000-000021080000}"/>
    <cellStyle name="Normal 734" xfId="2098" xr:uid="{00000000-0005-0000-0000-000022080000}"/>
    <cellStyle name="Normal 735" xfId="2099" xr:uid="{00000000-0005-0000-0000-000023080000}"/>
    <cellStyle name="Normal 736" xfId="2100" xr:uid="{00000000-0005-0000-0000-000024080000}"/>
    <cellStyle name="Normal 737" xfId="2101" xr:uid="{00000000-0005-0000-0000-000025080000}"/>
    <cellStyle name="Normal 738" xfId="2102" xr:uid="{00000000-0005-0000-0000-000026080000}"/>
    <cellStyle name="Normal 739" xfId="2103" xr:uid="{00000000-0005-0000-0000-000027080000}"/>
    <cellStyle name="Normal 74" xfId="2104" xr:uid="{00000000-0005-0000-0000-000028080000}"/>
    <cellStyle name="Normal 740" xfId="2105" xr:uid="{00000000-0005-0000-0000-000029080000}"/>
    <cellStyle name="Normal 741" xfId="2106" xr:uid="{00000000-0005-0000-0000-00002A080000}"/>
    <cellStyle name="Normal 742" xfId="2107" xr:uid="{00000000-0005-0000-0000-00002B080000}"/>
    <cellStyle name="Normal 743" xfId="2108" xr:uid="{00000000-0005-0000-0000-00002C080000}"/>
    <cellStyle name="Normal 744" xfId="2109" xr:uid="{00000000-0005-0000-0000-00002D080000}"/>
    <cellStyle name="Normal 745" xfId="2110" xr:uid="{00000000-0005-0000-0000-00002E080000}"/>
    <cellStyle name="Normal 746" xfId="2111" xr:uid="{00000000-0005-0000-0000-00002F080000}"/>
    <cellStyle name="Normal 747" xfId="2112" xr:uid="{00000000-0005-0000-0000-000030080000}"/>
    <cellStyle name="Normal 748" xfId="2113" xr:uid="{00000000-0005-0000-0000-000031080000}"/>
    <cellStyle name="Normal 749" xfId="2114" xr:uid="{00000000-0005-0000-0000-000032080000}"/>
    <cellStyle name="Normal 75" xfId="2115" xr:uid="{00000000-0005-0000-0000-000033080000}"/>
    <cellStyle name="Normal 750" xfId="2116" xr:uid="{00000000-0005-0000-0000-000034080000}"/>
    <cellStyle name="Normal 751" xfId="2117" xr:uid="{00000000-0005-0000-0000-000035080000}"/>
    <cellStyle name="Normal 752" xfId="2118" xr:uid="{00000000-0005-0000-0000-000036080000}"/>
    <cellStyle name="Normal 753" xfId="2119" xr:uid="{00000000-0005-0000-0000-000037080000}"/>
    <cellStyle name="Normal 754" xfId="2120" xr:uid="{00000000-0005-0000-0000-000038080000}"/>
    <cellStyle name="Normal 755" xfId="2121" xr:uid="{00000000-0005-0000-0000-000039080000}"/>
    <cellStyle name="Normal 756" xfId="2122" xr:uid="{00000000-0005-0000-0000-00003A080000}"/>
    <cellStyle name="Normal 757" xfId="2123" xr:uid="{00000000-0005-0000-0000-00003B080000}"/>
    <cellStyle name="Normal 758" xfId="2124" xr:uid="{00000000-0005-0000-0000-00003C080000}"/>
    <cellStyle name="Normal 759" xfId="2125" xr:uid="{00000000-0005-0000-0000-00003D080000}"/>
    <cellStyle name="Normal 76" xfId="2126" xr:uid="{00000000-0005-0000-0000-00003E080000}"/>
    <cellStyle name="Normal 760" xfId="2127" xr:uid="{00000000-0005-0000-0000-00003F080000}"/>
    <cellStyle name="Normal 761" xfId="2128" xr:uid="{00000000-0005-0000-0000-000040080000}"/>
    <cellStyle name="Normal 762" xfId="2129" xr:uid="{00000000-0005-0000-0000-000041080000}"/>
    <cellStyle name="Normal 763" xfId="2130" xr:uid="{00000000-0005-0000-0000-000042080000}"/>
    <cellStyle name="Normal 764" xfId="2131" xr:uid="{00000000-0005-0000-0000-000043080000}"/>
    <cellStyle name="Normal 765" xfId="2132" xr:uid="{00000000-0005-0000-0000-000044080000}"/>
    <cellStyle name="Normal 766" xfId="2133" xr:uid="{00000000-0005-0000-0000-000045080000}"/>
    <cellStyle name="Normal 767" xfId="2134" xr:uid="{00000000-0005-0000-0000-000046080000}"/>
    <cellStyle name="Normal 768" xfId="2135" xr:uid="{00000000-0005-0000-0000-000047080000}"/>
    <cellStyle name="Normal 769" xfId="2136" xr:uid="{00000000-0005-0000-0000-000048080000}"/>
    <cellStyle name="Normal 77" xfId="2137" xr:uid="{00000000-0005-0000-0000-000049080000}"/>
    <cellStyle name="Normal 770" xfId="2138" xr:uid="{00000000-0005-0000-0000-00004A080000}"/>
    <cellStyle name="Normal 771" xfId="2139" xr:uid="{00000000-0005-0000-0000-00004B080000}"/>
    <cellStyle name="Normal 772" xfId="2140" xr:uid="{00000000-0005-0000-0000-00004C080000}"/>
    <cellStyle name="Normal 773" xfId="2141" xr:uid="{00000000-0005-0000-0000-00004D080000}"/>
    <cellStyle name="Normal 774" xfId="2142" xr:uid="{00000000-0005-0000-0000-00004E080000}"/>
    <cellStyle name="Normal 775" xfId="2143" xr:uid="{00000000-0005-0000-0000-00004F080000}"/>
    <cellStyle name="Normal 776" xfId="2144" xr:uid="{00000000-0005-0000-0000-000050080000}"/>
    <cellStyle name="Normal 777" xfId="2145" xr:uid="{00000000-0005-0000-0000-000051080000}"/>
    <cellStyle name="Normal 778" xfId="2146" xr:uid="{00000000-0005-0000-0000-000052080000}"/>
    <cellStyle name="Normal 779" xfId="2147" xr:uid="{00000000-0005-0000-0000-000053080000}"/>
    <cellStyle name="Normal 78" xfId="2148" xr:uid="{00000000-0005-0000-0000-000054080000}"/>
    <cellStyle name="Normal 780" xfId="2149" xr:uid="{00000000-0005-0000-0000-000055080000}"/>
    <cellStyle name="Normal 781" xfId="2150" xr:uid="{00000000-0005-0000-0000-000056080000}"/>
    <cellStyle name="Normal 782" xfId="2151" xr:uid="{00000000-0005-0000-0000-000057080000}"/>
    <cellStyle name="Normal 783" xfId="2152" xr:uid="{00000000-0005-0000-0000-000058080000}"/>
    <cellStyle name="Normal 784" xfId="2153" xr:uid="{00000000-0005-0000-0000-000059080000}"/>
    <cellStyle name="Normal 785" xfId="2154" xr:uid="{00000000-0005-0000-0000-00005A080000}"/>
    <cellStyle name="Normal 786" xfId="2155" xr:uid="{00000000-0005-0000-0000-00005B080000}"/>
    <cellStyle name="Normal 787" xfId="2156" xr:uid="{00000000-0005-0000-0000-00005C080000}"/>
    <cellStyle name="Normal 788" xfId="2157" xr:uid="{00000000-0005-0000-0000-00005D080000}"/>
    <cellStyle name="Normal 789" xfId="2158" xr:uid="{00000000-0005-0000-0000-00005E080000}"/>
    <cellStyle name="Normal 79" xfId="2159" xr:uid="{00000000-0005-0000-0000-00005F080000}"/>
    <cellStyle name="Normal 790" xfId="2160" xr:uid="{00000000-0005-0000-0000-000060080000}"/>
    <cellStyle name="Normal 791" xfId="2161" xr:uid="{00000000-0005-0000-0000-000061080000}"/>
    <cellStyle name="Normal 792" xfId="2162" xr:uid="{00000000-0005-0000-0000-000062080000}"/>
    <cellStyle name="Normal 793" xfId="2163" xr:uid="{00000000-0005-0000-0000-000063080000}"/>
    <cellStyle name="Normal 794" xfId="2164" xr:uid="{00000000-0005-0000-0000-000064080000}"/>
    <cellStyle name="Normal 795" xfId="2165" xr:uid="{00000000-0005-0000-0000-000065080000}"/>
    <cellStyle name="Normal 796" xfId="2166" xr:uid="{00000000-0005-0000-0000-000066080000}"/>
    <cellStyle name="Normal 797" xfId="2167" xr:uid="{00000000-0005-0000-0000-000067080000}"/>
    <cellStyle name="Normal 798" xfId="2168" xr:uid="{00000000-0005-0000-0000-000068080000}"/>
    <cellStyle name="Normal 799" xfId="2169" xr:uid="{00000000-0005-0000-0000-000069080000}"/>
    <cellStyle name="Normal 8" xfId="51" xr:uid="{00000000-0005-0000-0000-00006A080000}"/>
    <cellStyle name="Normal 8 2" xfId="52" xr:uid="{00000000-0005-0000-0000-00006B080000}"/>
    <cellStyle name="Normal 8 2 2" xfId="79" xr:uid="{00000000-0005-0000-0000-00006C080000}"/>
    <cellStyle name="Normal 8 2 2 2" xfId="2170" xr:uid="{00000000-0005-0000-0000-00006D080000}"/>
    <cellStyle name="Normal 8 2 2 3" xfId="2171" xr:uid="{00000000-0005-0000-0000-00006E080000}"/>
    <cellStyle name="Normal 8 2 2 4" xfId="2172" xr:uid="{00000000-0005-0000-0000-00006F080000}"/>
    <cellStyle name="Normal 8 2 3" xfId="155" xr:uid="{00000000-0005-0000-0000-000070080000}"/>
    <cellStyle name="Normal 8 2 3 2" xfId="2173" xr:uid="{00000000-0005-0000-0000-000071080000}"/>
    <cellStyle name="Normal 8 2 3 3" xfId="2174" xr:uid="{00000000-0005-0000-0000-000072080000}"/>
    <cellStyle name="Normal 8 2 3 4" xfId="2175" xr:uid="{00000000-0005-0000-0000-000073080000}"/>
    <cellStyle name="Normal 8 2 4" xfId="2176" xr:uid="{00000000-0005-0000-0000-000074080000}"/>
    <cellStyle name="Normal 8 2 5" xfId="2177" xr:uid="{00000000-0005-0000-0000-000075080000}"/>
    <cellStyle name="Normal 8 2 6" xfId="2178" xr:uid="{00000000-0005-0000-0000-000076080000}"/>
    <cellStyle name="Normal 8 2 7" xfId="2179" xr:uid="{00000000-0005-0000-0000-000077080000}"/>
    <cellStyle name="Normal 8 2_Sheet1" xfId="129" xr:uid="{00000000-0005-0000-0000-000078080000}"/>
    <cellStyle name="Normal 8 3" xfId="68" xr:uid="{00000000-0005-0000-0000-000079080000}"/>
    <cellStyle name="Normal 8 3 2" xfId="2180" xr:uid="{00000000-0005-0000-0000-00007A080000}"/>
    <cellStyle name="Normal 8 3 3" xfId="2181" xr:uid="{00000000-0005-0000-0000-00007B080000}"/>
    <cellStyle name="Normal 8 3 4" xfId="2182" xr:uid="{00000000-0005-0000-0000-00007C080000}"/>
    <cellStyle name="Normal 8 4" xfId="144" xr:uid="{00000000-0005-0000-0000-00007D080000}"/>
    <cellStyle name="Normal 8 4 2" xfId="2183" xr:uid="{00000000-0005-0000-0000-00007E080000}"/>
    <cellStyle name="Normal 8 4 3" xfId="2184" xr:uid="{00000000-0005-0000-0000-00007F080000}"/>
    <cellStyle name="Normal 8 4 4" xfId="2185" xr:uid="{00000000-0005-0000-0000-000080080000}"/>
    <cellStyle name="Normal 8 5" xfId="2186" xr:uid="{00000000-0005-0000-0000-000081080000}"/>
    <cellStyle name="Normal 8 6" xfId="2187" xr:uid="{00000000-0005-0000-0000-000082080000}"/>
    <cellStyle name="Normal 8 7" xfId="2188" xr:uid="{00000000-0005-0000-0000-000083080000}"/>
    <cellStyle name="Normal 8 8" xfId="2189" xr:uid="{00000000-0005-0000-0000-000084080000}"/>
    <cellStyle name="Normal 8_Sheet1" xfId="110" xr:uid="{00000000-0005-0000-0000-000085080000}"/>
    <cellStyle name="Normal 80" xfId="2190" xr:uid="{00000000-0005-0000-0000-000086080000}"/>
    <cellStyle name="Normal 800" xfId="2191" xr:uid="{00000000-0005-0000-0000-000087080000}"/>
    <cellStyle name="Normal 801" xfId="2192" xr:uid="{00000000-0005-0000-0000-000088080000}"/>
    <cellStyle name="Normal 802" xfId="2193" xr:uid="{00000000-0005-0000-0000-000089080000}"/>
    <cellStyle name="Normal 803" xfId="2194" xr:uid="{00000000-0005-0000-0000-00008A080000}"/>
    <cellStyle name="Normal 804" xfId="2195" xr:uid="{00000000-0005-0000-0000-00008B080000}"/>
    <cellStyle name="Normal 805" xfId="2196" xr:uid="{00000000-0005-0000-0000-00008C080000}"/>
    <cellStyle name="Normal 806" xfId="2197" xr:uid="{00000000-0005-0000-0000-00008D080000}"/>
    <cellStyle name="Normal 807" xfId="2198" xr:uid="{00000000-0005-0000-0000-00008E080000}"/>
    <cellStyle name="Normal 808" xfId="2199" xr:uid="{00000000-0005-0000-0000-00008F080000}"/>
    <cellStyle name="Normal 809" xfId="2200" xr:uid="{00000000-0005-0000-0000-000090080000}"/>
    <cellStyle name="Normal 81" xfId="2201" xr:uid="{00000000-0005-0000-0000-000091080000}"/>
    <cellStyle name="Normal 810" xfId="2202" xr:uid="{00000000-0005-0000-0000-000092080000}"/>
    <cellStyle name="Normal 811" xfId="2203" xr:uid="{00000000-0005-0000-0000-000093080000}"/>
    <cellStyle name="Normal 812" xfId="2204" xr:uid="{00000000-0005-0000-0000-000094080000}"/>
    <cellStyle name="Normal 813" xfId="2205" xr:uid="{00000000-0005-0000-0000-000095080000}"/>
    <cellStyle name="Normal 814" xfId="2206" xr:uid="{00000000-0005-0000-0000-000096080000}"/>
    <cellStyle name="Normal 815" xfId="2207" xr:uid="{00000000-0005-0000-0000-000097080000}"/>
    <cellStyle name="Normal 816" xfId="2208" xr:uid="{00000000-0005-0000-0000-000098080000}"/>
    <cellStyle name="Normal 817" xfId="2209" xr:uid="{00000000-0005-0000-0000-000099080000}"/>
    <cellStyle name="Normal 818" xfId="2210" xr:uid="{00000000-0005-0000-0000-00009A080000}"/>
    <cellStyle name="Normal 819" xfId="2211" xr:uid="{00000000-0005-0000-0000-00009B080000}"/>
    <cellStyle name="Normal 82" xfId="2212" xr:uid="{00000000-0005-0000-0000-00009C080000}"/>
    <cellStyle name="Normal 820" xfId="2213" xr:uid="{00000000-0005-0000-0000-00009D080000}"/>
    <cellStyle name="Normal 821" xfId="2214" xr:uid="{00000000-0005-0000-0000-00009E080000}"/>
    <cellStyle name="Normal 822" xfId="2215" xr:uid="{00000000-0005-0000-0000-00009F080000}"/>
    <cellStyle name="Normal 823" xfId="2216" xr:uid="{00000000-0005-0000-0000-0000A0080000}"/>
    <cellStyle name="Normal 824" xfId="2217" xr:uid="{00000000-0005-0000-0000-0000A1080000}"/>
    <cellStyle name="Normal 825" xfId="2218" xr:uid="{00000000-0005-0000-0000-0000A2080000}"/>
    <cellStyle name="Normal 826" xfId="2219" xr:uid="{00000000-0005-0000-0000-0000A3080000}"/>
    <cellStyle name="Normal 827" xfId="2220" xr:uid="{00000000-0005-0000-0000-0000A4080000}"/>
    <cellStyle name="Normal 828" xfId="2221" xr:uid="{00000000-0005-0000-0000-0000A5080000}"/>
    <cellStyle name="Normal 829" xfId="2222" xr:uid="{00000000-0005-0000-0000-0000A6080000}"/>
    <cellStyle name="Normal 83" xfId="2223" xr:uid="{00000000-0005-0000-0000-0000A7080000}"/>
    <cellStyle name="Normal 830" xfId="2224" xr:uid="{00000000-0005-0000-0000-0000A8080000}"/>
    <cellStyle name="Normal 831" xfId="2225" xr:uid="{00000000-0005-0000-0000-0000A9080000}"/>
    <cellStyle name="Normal 832" xfId="2226" xr:uid="{00000000-0005-0000-0000-0000AA080000}"/>
    <cellStyle name="Normal 833" xfId="2227" xr:uid="{00000000-0005-0000-0000-0000AB080000}"/>
    <cellStyle name="Normal 834" xfId="2228" xr:uid="{00000000-0005-0000-0000-0000AC080000}"/>
    <cellStyle name="Normal 835" xfId="2229" xr:uid="{00000000-0005-0000-0000-0000AD080000}"/>
    <cellStyle name="Normal 836" xfId="2230" xr:uid="{00000000-0005-0000-0000-0000AE080000}"/>
    <cellStyle name="Normal 837" xfId="2231" xr:uid="{00000000-0005-0000-0000-0000AF080000}"/>
    <cellStyle name="Normal 838" xfId="2232" xr:uid="{00000000-0005-0000-0000-0000B0080000}"/>
    <cellStyle name="Normal 839" xfId="2233" xr:uid="{00000000-0005-0000-0000-0000B1080000}"/>
    <cellStyle name="Normal 84" xfId="2234" xr:uid="{00000000-0005-0000-0000-0000B2080000}"/>
    <cellStyle name="Normal 840" xfId="2235" xr:uid="{00000000-0005-0000-0000-0000B3080000}"/>
    <cellStyle name="Normal 841" xfId="2236" xr:uid="{00000000-0005-0000-0000-0000B4080000}"/>
    <cellStyle name="Normal 842" xfId="2237" xr:uid="{00000000-0005-0000-0000-0000B5080000}"/>
    <cellStyle name="Normal 843" xfId="2238" xr:uid="{00000000-0005-0000-0000-0000B6080000}"/>
    <cellStyle name="Normal 844" xfId="2239" xr:uid="{00000000-0005-0000-0000-0000B7080000}"/>
    <cellStyle name="Normal 845" xfId="2240" xr:uid="{00000000-0005-0000-0000-0000B8080000}"/>
    <cellStyle name="Normal 846" xfId="2241" xr:uid="{00000000-0005-0000-0000-0000B9080000}"/>
    <cellStyle name="Normal 847" xfId="2242" xr:uid="{00000000-0005-0000-0000-0000BA080000}"/>
    <cellStyle name="Normal 848" xfId="2243" xr:uid="{00000000-0005-0000-0000-0000BB080000}"/>
    <cellStyle name="Normal 849" xfId="2244" xr:uid="{00000000-0005-0000-0000-0000BC080000}"/>
    <cellStyle name="Normal 85" xfId="2245" xr:uid="{00000000-0005-0000-0000-0000BD080000}"/>
    <cellStyle name="Normal 850" xfId="2246" xr:uid="{00000000-0005-0000-0000-0000BE080000}"/>
    <cellStyle name="Normal 851" xfId="2247" xr:uid="{00000000-0005-0000-0000-0000BF080000}"/>
    <cellStyle name="Normal 852" xfId="2248" xr:uid="{00000000-0005-0000-0000-0000C0080000}"/>
    <cellStyle name="Normal 853" xfId="2249" xr:uid="{00000000-0005-0000-0000-0000C1080000}"/>
    <cellStyle name="Normal 854" xfId="2250" xr:uid="{00000000-0005-0000-0000-0000C2080000}"/>
    <cellStyle name="Normal 855" xfId="2251" xr:uid="{00000000-0005-0000-0000-0000C3080000}"/>
    <cellStyle name="Normal 856" xfId="2252" xr:uid="{00000000-0005-0000-0000-0000C4080000}"/>
    <cellStyle name="Normal 857" xfId="2253" xr:uid="{00000000-0005-0000-0000-0000C5080000}"/>
    <cellStyle name="Normal 858" xfId="2254" xr:uid="{00000000-0005-0000-0000-0000C6080000}"/>
    <cellStyle name="Normal 859" xfId="2255" xr:uid="{00000000-0005-0000-0000-0000C7080000}"/>
    <cellStyle name="Normal 86" xfId="2256" xr:uid="{00000000-0005-0000-0000-0000C8080000}"/>
    <cellStyle name="Normal 860" xfId="2257" xr:uid="{00000000-0005-0000-0000-0000C9080000}"/>
    <cellStyle name="Normal 861" xfId="2258" xr:uid="{00000000-0005-0000-0000-0000CA080000}"/>
    <cellStyle name="Normal 862" xfId="2259" xr:uid="{00000000-0005-0000-0000-0000CB080000}"/>
    <cellStyle name="Normal 863" xfId="2260" xr:uid="{00000000-0005-0000-0000-0000CC080000}"/>
    <cellStyle name="Normal 864" xfId="2261" xr:uid="{00000000-0005-0000-0000-0000CD080000}"/>
    <cellStyle name="Normal 865" xfId="2262" xr:uid="{00000000-0005-0000-0000-0000CE080000}"/>
    <cellStyle name="Normal 866" xfId="2263" xr:uid="{00000000-0005-0000-0000-0000CF080000}"/>
    <cellStyle name="Normal 867" xfId="2264" xr:uid="{00000000-0005-0000-0000-0000D0080000}"/>
    <cellStyle name="Normal 868" xfId="2265" xr:uid="{00000000-0005-0000-0000-0000D1080000}"/>
    <cellStyle name="Normal 869" xfId="2266" xr:uid="{00000000-0005-0000-0000-0000D2080000}"/>
    <cellStyle name="Normal 87" xfId="2267" xr:uid="{00000000-0005-0000-0000-0000D3080000}"/>
    <cellStyle name="Normal 870" xfId="2268" xr:uid="{00000000-0005-0000-0000-0000D4080000}"/>
    <cellStyle name="Normal 871" xfId="2269" xr:uid="{00000000-0005-0000-0000-0000D5080000}"/>
    <cellStyle name="Normal 872" xfId="2270" xr:uid="{00000000-0005-0000-0000-0000D6080000}"/>
    <cellStyle name="Normal 873" xfId="2271" xr:uid="{00000000-0005-0000-0000-0000D7080000}"/>
    <cellStyle name="Normal 874" xfId="2272" xr:uid="{00000000-0005-0000-0000-0000D8080000}"/>
    <cellStyle name="Normal 875" xfId="2273" xr:uid="{00000000-0005-0000-0000-0000D9080000}"/>
    <cellStyle name="Normal 876" xfId="2274" xr:uid="{00000000-0005-0000-0000-0000DA080000}"/>
    <cellStyle name="Normal 877" xfId="2275" xr:uid="{00000000-0005-0000-0000-0000DB080000}"/>
    <cellStyle name="Normal 878" xfId="2276" xr:uid="{00000000-0005-0000-0000-0000DC080000}"/>
    <cellStyle name="Normal 879" xfId="2277" xr:uid="{00000000-0005-0000-0000-0000DD080000}"/>
    <cellStyle name="Normal 88" xfId="2278" xr:uid="{00000000-0005-0000-0000-0000DE080000}"/>
    <cellStyle name="Normal 880" xfId="2279" xr:uid="{00000000-0005-0000-0000-0000DF080000}"/>
    <cellStyle name="Normal 881" xfId="2280" xr:uid="{00000000-0005-0000-0000-0000E0080000}"/>
    <cellStyle name="Normal 882" xfId="2281" xr:uid="{00000000-0005-0000-0000-0000E1080000}"/>
    <cellStyle name="Normal 883" xfId="2282" xr:uid="{00000000-0005-0000-0000-0000E2080000}"/>
    <cellStyle name="Normal 884" xfId="2283" xr:uid="{00000000-0005-0000-0000-0000E3080000}"/>
    <cellStyle name="Normal 885" xfId="2284" xr:uid="{00000000-0005-0000-0000-0000E4080000}"/>
    <cellStyle name="Normal 886" xfId="2285" xr:uid="{00000000-0005-0000-0000-0000E5080000}"/>
    <cellStyle name="Normal 887" xfId="2286" xr:uid="{00000000-0005-0000-0000-0000E6080000}"/>
    <cellStyle name="Normal 888" xfId="2287" xr:uid="{00000000-0005-0000-0000-0000E7080000}"/>
    <cellStyle name="Normal 889" xfId="2288" xr:uid="{00000000-0005-0000-0000-0000E8080000}"/>
    <cellStyle name="Normal 89" xfId="2289" xr:uid="{00000000-0005-0000-0000-0000E9080000}"/>
    <cellStyle name="Normal 890" xfId="2290" xr:uid="{00000000-0005-0000-0000-0000EA080000}"/>
    <cellStyle name="Normal 891" xfId="2291" xr:uid="{00000000-0005-0000-0000-0000EB080000}"/>
    <cellStyle name="Normal 892" xfId="2292" xr:uid="{00000000-0005-0000-0000-0000EC080000}"/>
    <cellStyle name="Normal 893" xfId="2293" xr:uid="{00000000-0005-0000-0000-0000ED080000}"/>
    <cellStyle name="Normal 894" xfId="2294" xr:uid="{00000000-0005-0000-0000-0000EE080000}"/>
    <cellStyle name="Normal 895" xfId="2295" xr:uid="{00000000-0005-0000-0000-0000EF080000}"/>
    <cellStyle name="Normal 896" xfId="2296" xr:uid="{00000000-0005-0000-0000-0000F0080000}"/>
    <cellStyle name="Normal 897" xfId="2297" xr:uid="{00000000-0005-0000-0000-0000F1080000}"/>
    <cellStyle name="Normal 898" xfId="2298" xr:uid="{00000000-0005-0000-0000-0000F2080000}"/>
    <cellStyle name="Normal 899" xfId="2299" xr:uid="{00000000-0005-0000-0000-0000F3080000}"/>
    <cellStyle name="Normal 9" xfId="53" xr:uid="{00000000-0005-0000-0000-0000F4080000}"/>
    <cellStyle name="Normal 9 2" xfId="54" xr:uid="{00000000-0005-0000-0000-0000F5080000}"/>
    <cellStyle name="Normal 9 2 2" xfId="77" xr:uid="{00000000-0005-0000-0000-0000F6080000}"/>
    <cellStyle name="Normal 9 2 2 2" xfId="2300" xr:uid="{00000000-0005-0000-0000-0000F7080000}"/>
    <cellStyle name="Normal 9 2 2 3" xfId="2301" xr:uid="{00000000-0005-0000-0000-0000F8080000}"/>
    <cellStyle name="Normal 9 2 2 4" xfId="2302" xr:uid="{00000000-0005-0000-0000-0000F9080000}"/>
    <cellStyle name="Normal 9 2 3" xfId="153" xr:uid="{00000000-0005-0000-0000-0000FA080000}"/>
    <cellStyle name="Normal 9 2 3 2" xfId="2303" xr:uid="{00000000-0005-0000-0000-0000FB080000}"/>
    <cellStyle name="Normal 9 2 3 3" xfId="2304" xr:uid="{00000000-0005-0000-0000-0000FC080000}"/>
    <cellStyle name="Normal 9 2 3 4" xfId="2305" xr:uid="{00000000-0005-0000-0000-0000FD080000}"/>
    <cellStyle name="Normal 9 2 4" xfId="2306" xr:uid="{00000000-0005-0000-0000-0000FE080000}"/>
    <cellStyle name="Normal 9 2 5" xfId="2307" xr:uid="{00000000-0005-0000-0000-0000FF080000}"/>
    <cellStyle name="Normal 9 2 6" xfId="2308" xr:uid="{00000000-0005-0000-0000-000000090000}"/>
    <cellStyle name="Normal 9 2 7" xfId="2309" xr:uid="{00000000-0005-0000-0000-000001090000}"/>
    <cellStyle name="Normal 9 2_Sheet1" xfId="114" xr:uid="{00000000-0005-0000-0000-000002090000}"/>
    <cellStyle name="Normal 9 3" xfId="69" xr:uid="{00000000-0005-0000-0000-000003090000}"/>
    <cellStyle name="Normal 9 3 2" xfId="2310" xr:uid="{00000000-0005-0000-0000-000004090000}"/>
    <cellStyle name="Normal 9 3 3" xfId="2311" xr:uid="{00000000-0005-0000-0000-000005090000}"/>
    <cellStyle name="Normal 9 3 4" xfId="2312" xr:uid="{00000000-0005-0000-0000-000006090000}"/>
    <cellStyle name="Normal 9 4" xfId="145" xr:uid="{00000000-0005-0000-0000-000007090000}"/>
    <cellStyle name="Normal 9 4 2" xfId="2313" xr:uid="{00000000-0005-0000-0000-000008090000}"/>
    <cellStyle name="Normal 9 4 3" xfId="2314" xr:uid="{00000000-0005-0000-0000-000009090000}"/>
    <cellStyle name="Normal 9 4 4" xfId="2315" xr:uid="{00000000-0005-0000-0000-00000A090000}"/>
    <cellStyle name="Normal 9 5" xfId="2316" xr:uid="{00000000-0005-0000-0000-00000B090000}"/>
    <cellStyle name="Normal 9 6" xfId="2317" xr:uid="{00000000-0005-0000-0000-00000C090000}"/>
    <cellStyle name="Normal 9 7" xfId="2318" xr:uid="{00000000-0005-0000-0000-00000D090000}"/>
    <cellStyle name="Normal 9 8" xfId="2319" xr:uid="{00000000-0005-0000-0000-00000E090000}"/>
    <cellStyle name="Normal 9_Sheet1" xfId="127" xr:uid="{00000000-0005-0000-0000-00000F090000}"/>
    <cellStyle name="Normal 90" xfId="2320" xr:uid="{00000000-0005-0000-0000-000010090000}"/>
    <cellStyle name="Normal 900" xfId="2321" xr:uid="{00000000-0005-0000-0000-000011090000}"/>
    <cellStyle name="Normal 901" xfId="2322" xr:uid="{00000000-0005-0000-0000-000012090000}"/>
    <cellStyle name="Normal 902" xfId="2323" xr:uid="{00000000-0005-0000-0000-000013090000}"/>
    <cellStyle name="Normal 903" xfId="2324" xr:uid="{00000000-0005-0000-0000-000014090000}"/>
    <cellStyle name="Normal 904" xfId="2325" xr:uid="{00000000-0005-0000-0000-000015090000}"/>
    <cellStyle name="Normal 905" xfId="2326" xr:uid="{00000000-0005-0000-0000-000016090000}"/>
    <cellStyle name="Normal 906" xfId="2327" xr:uid="{00000000-0005-0000-0000-000017090000}"/>
    <cellStyle name="Normal 907" xfId="2328" xr:uid="{00000000-0005-0000-0000-000018090000}"/>
    <cellStyle name="Normal 908" xfId="2329" xr:uid="{00000000-0005-0000-0000-000019090000}"/>
    <cellStyle name="Normal 909" xfId="2330" xr:uid="{00000000-0005-0000-0000-00001A090000}"/>
    <cellStyle name="Normal 91" xfId="2331" xr:uid="{00000000-0005-0000-0000-00001B090000}"/>
    <cellStyle name="Normal 910" xfId="2332" xr:uid="{00000000-0005-0000-0000-00001C090000}"/>
    <cellStyle name="Normal 911" xfId="2333" xr:uid="{00000000-0005-0000-0000-00001D090000}"/>
    <cellStyle name="Normal 912" xfId="2334" xr:uid="{00000000-0005-0000-0000-00001E090000}"/>
    <cellStyle name="Normal 913" xfId="2335" xr:uid="{00000000-0005-0000-0000-00001F090000}"/>
    <cellStyle name="Normal 914" xfId="2336" xr:uid="{00000000-0005-0000-0000-000020090000}"/>
    <cellStyle name="Normal 915" xfId="2337" xr:uid="{00000000-0005-0000-0000-000021090000}"/>
    <cellStyle name="Normal 916" xfId="2338" xr:uid="{00000000-0005-0000-0000-000022090000}"/>
    <cellStyle name="Normal 917" xfId="2339" xr:uid="{00000000-0005-0000-0000-000023090000}"/>
    <cellStyle name="Normal 918" xfId="2340" xr:uid="{00000000-0005-0000-0000-000024090000}"/>
    <cellStyle name="Normal 919" xfId="2341" xr:uid="{00000000-0005-0000-0000-000025090000}"/>
    <cellStyle name="Normal 92" xfId="2342" xr:uid="{00000000-0005-0000-0000-000026090000}"/>
    <cellStyle name="Normal 920" xfId="2343" xr:uid="{00000000-0005-0000-0000-000027090000}"/>
    <cellStyle name="Normal 921" xfId="2344" xr:uid="{00000000-0005-0000-0000-000028090000}"/>
    <cellStyle name="Normal 922" xfId="2345" xr:uid="{00000000-0005-0000-0000-000029090000}"/>
    <cellStyle name="Normal 923" xfId="2346" xr:uid="{00000000-0005-0000-0000-00002A090000}"/>
    <cellStyle name="Normal 924" xfId="2347" xr:uid="{00000000-0005-0000-0000-00002B090000}"/>
    <cellStyle name="Normal 925" xfId="2348" xr:uid="{00000000-0005-0000-0000-00002C090000}"/>
    <cellStyle name="Normal 926" xfId="2349" xr:uid="{00000000-0005-0000-0000-00002D090000}"/>
    <cellStyle name="Normal 927" xfId="2350" xr:uid="{00000000-0005-0000-0000-00002E090000}"/>
    <cellStyle name="Normal 928" xfId="2351" xr:uid="{00000000-0005-0000-0000-00002F090000}"/>
    <cellStyle name="Normal 929" xfId="2352" xr:uid="{00000000-0005-0000-0000-000030090000}"/>
    <cellStyle name="Normal 93" xfId="2353" xr:uid="{00000000-0005-0000-0000-000031090000}"/>
    <cellStyle name="Normal 930" xfId="2354" xr:uid="{00000000-0005-0000-0000-000032090000}"/>
    <cellStyle name="Normal 931" xfId="2355" xr:uid="{00000000-0005-0000-0000-000033090000}"/>
    <cellStyle name="Normal 932" xfId="2356" xr:uid="{00000000-0005-0000-0000-000034090000}"/>
    <cellStyle name="Normal 933" xfId="2357" xr:uid="{00000000-0005-0000-0000-000035090000}"/>
    <cellStyle name="Normal 934" xfId="2358" xr:uid="{00000000-0005-0000-0000-000036090000}"/>
    <cellStyle name="Normal 935" xfId="2359" xr:uid="{00000000-0005-0000-0000-000037090000}"/>
    <cellStyle name="Normal 936" xfId="2360" xr:uid="{00000000-0005-0000-0000-000038090000}"/>
    <cellStyle name="Normal 937" xfId="2361" xr:uid="{00000000-0005-0000-0000-000039090000}"/>
    <cellStyle name="Normal 938" xfId="2362" xr:uid="{00000000-0005-0000-0000-00003A090000}"/>
    <cellStyle name="Normal 939" xfId="2363" xr:uid="{00000000-0005-0000-0000-00003B090000}"/>
    <cellStyle name="Normal 94" xfId="2364" xr:uid="{00000000-0005-0000-0000-00003C090000}"/>
    <cellStyle name="Normal 940" xfId="2365" xr:uid="{00000000-0005-0000-0000-00003D090000}"/>
    <cellStyle name="Normal 941" xfId="2366" xr:uid="{00000000-0005-0000-0000-00003E090000}"/>
    <cellStyle name="Normal 942" xfId="2367" xr:uid="{00000000-0005-0000-0000-00003F090000}"/>
    <cellStyle name="Normal 943" xfId="2368" xr:uid="{00000000-0005-0000-0000-000040090000}"/>
    <cellStyle name="Normal 944" xfId="2369" xr:uid="{00000000-0005-0000-0000-000041090000}"/>
    <cellStyle name="Normal 945" xfId="2370" xr:uid="{00000000-0005-0000-0000-000042090000}"/>
    <cellStyle name="Normal 946" xfId="2371" xr:uid="{00000000-0005-0000-0000-000043090000}"/>
    <cellStyle name="Normal 947" xfId="2372" xr:uid="{00000000-0005-0000-0000-000044090000}"/>
    <cellStyle name="Normal 948" xfId="2373" xr:uid="{00000000-0005-0000-0000-000045090000}"/>
    <cellStyle name="Normal 949" xfId="2374" xr:uid="{00000000-0005-0000-0000-000046090000}"/>
    <cellStyle name="Normal 95" xfId="2375" xr:uid="{00000000-0005-0000-0000-000047090000}"/>
    <cellStyle name="Normal 950" xfId="2376" xr:uid="{00000000-0005-0000-0000-000048090000}"/>
    <cellStyle name="Normal 951" xfId="2377" xr:uid="{00000000-0005-0000-0000-000049090000}"/>
    <cellStyle name="Normal 952" xfId="2378" xr:uid="{00000000-0005-0000-0000-00004A090000}"/>
    <cellStyle name="Normal 953" xfId="2379" xr:uid="{00000000-0005-0000-0000-00004B090000}"/>
    <cellStyle name="Normal 954" xfId="2380" xr:uid="{00000000-0005-0000-0000-00004C090000}"/>
    <cellStyle name="Normal 955" xfId="2381" xr:uid="{00000000-0005-0000-0000-00004D090000}"/>
    <cellStyle name="Normal 956" xfId="2382" xr:uid="{00000000-0005-0000-0000-00004E090000}"/>
    <cellStyle name="Normal 957" xfId="2383" xr:uid="{00000000-0005-0000-0000-00004F090000}"/>
    <cellStyle name="Normal 958" xfId="2384" xr:uid="{00000000-0005-0000-0000-000050090000}"/>
    <cellStyle name="Normal 959" xfId="2385" xr:uid="{00000000-0005-0000-0000-000051090000}"/>
    <cellStyle name="Normal 96" xfId="2386" xr:uid="{00000000-0005-0000-0000-000052090000}"/>
    <cellStyle name="Normal 960" xfId="2387" xr:uid="{00000000-0005-0000-0000-000053090000}"/>
    <cellStyle name="Normal 961" xfId="2388" xr:uid="{00000000-0005-0000-0000-000054090000}"/>
    <cellStyle name="Normal 962" xfId="2389" xr:uid="{00000000-0005-0000-0000-000055090000}"/>
    <cellStyle name="Normal 963" xfId="2390" xr:uid="{00000000-0005-0000-0000-000056090000}"/>
    <cellStyle name="Normal 964" xfId="2391" xr:uid="{00000000-0005-0000-0000-000057090000}"/>
    <cellStyle name="Normal 965" xfId="2392" xr:uid="{00000000-0005-0000-0000-000058090000}"/>
    <cellStyle name="Normal 966" xfId="2393" xr:uid="{00000000-0005-0000-0000-000059090000}"/>
    <cellStyle name="Normal 967" xfId="2394" xr:uid="{00000000-0005-0000-0000-00005A090000}"/>
    <cellStyle name="Normal 968" xfId="2395" xr:uid="{00000000-0005-0000-0000-00005B090000}"/>
    <cellStyle name="Normal 969" xfId="2396" xr:uid="{00000000-0005-0000-0000-00005C090000}"/>
    <cellStyle name="Normal 97" xfId="2397" xr:uid="{00000000-0005-0000-0000-00005D090000}"/>
    <cellStyle name="Normal 970" xfId="2398" xr:uid="{00000000-0005-0000-0000-00005E090000}"/>
    <cellStyle name="Normal 971" xfId="2399" xr:uid="{00000000-0005-0000-0000-00005F090000}"/>
    <cellStyle name="Normal 972" xfId="2400" xr:uid="{00000000-0005-0000-0000-000060090000}"/>
    <cellStyle name="Normal 973" xfId="2401" xr:uid="{00000000-0005-0000-0000-000061090000}"/>
    <cellStyle name="Normal 974" xfId="2402" xr:uid="{00000000-0005-0000-0000-000062090000}"/>
    <cellStyle name="Normal 975" xfId="2403" xr:uid="{00000000-0005-0000-0000-000063090000}"/>
    <cellStyle name="Normal 976" xfId="2404" xr:uid="{00000000-0005-0000-0000-000064090000}"/>
    <cellStyle name="Normal 977" xfId="2405" xr:uid="{00000000-0005-0000-0000-000065090000}"/>
    <cellStyle name="Normal 978" xfId="2406" xr:uid="{00000000-0005-0000-0000-000066090000}"/>
    <cellStyle name="Normal 979" xfId="2407" xr:uid="{00000000-0005-0000-0000-000067090000}"/>
    <cellStyle name="Normal 98" xfId="2408" xr:uid="{00000000-0005-0000-0000-000068090000}"/>
    <cellStyle name="Normal 980" xfId="2409" xr:uid="{00000000-0005-0000-0000-000069090000}"/>
    <cellStyle name="Normal 981" xfId="2410" xr:uid="{00000000-0005-0000-0000-00006A090000}"/>
    <cellStyle name="Normal 982" xfId="2411" xr:uid="{00000000-0005-0000-0000-00006B090000}"/>
    <cellStyle name="Normal 983" xfId="2412" xr:uid="{00000000-0005-0000-0000-00006C090000}"/>
    <cellStyle name="Normal 984" xfId="2413" xr:uid="{00000000-0005-0000-0000-00006D090000}"/>
    <cellStyle name="Normal 985" xfId="2414" xr:uid="{00000000-0005-0000-0000-00006E090000}"/>
    <cellStyle name="Normal 986" xfId="2415" xr:uid="{00000000-0005-0000-0000-00006F090000}"/>
    <cellStyle name="Normal 987" xfId="2416" xr:uid="{00000000-0005-0000-0000-000070090000}"/>
    <cellStyle name="Normal 988" xfId="2417" xr:uid="{00000000-0005-0000-0000-000071090000}"/>
    <cellStyle name="Normal 989" xfId="2418" xr:uid="{00000000-0005-0000-0000-000072090000}"/>
    <cellStyle name="Normal 99" xfId="2419" xr:uid="{00000000-0005-0000-0000-000073090000}"/>
    <cellStyle name="Normal 990" xfId="2420" xr:uid="{00000000-0005-0000-0000-000074090000}"/>
    <cellStyle name="Normal 991" xfId="2421" xr:uid="{00000000-0005-0000-0000-000075090000}"/>
    <cellStyle name="Normal 992" xfId="2422" xr:uid="{00000000-0005-0000-0000-000076090000}"/>
    <cellStyle name="Normal 993" xfId="2423" xr:uid="{00000000-0005-0000-0000-000077090000}"/>
    <cellStyle name="Normal 994" xfId="2424" xr:uid="{00000000-0005-0000-0000-000078090000}"/>
    <cellStyle name="Normal 995" xfId="2425" xr:uid="{00000000-0005-0000-0000-000079090000}"/>
    <cellStyle name="Normal 996" xfId="2426" xr:uid="{00000000-0005-0000-0000-00007A090000}"/>
    <cellStyle name="Normal 997" xfId="2427" xr:uid="{00000000-0005-0000-0000-00007B090000}"/>
    <cellStyle name="Normal 998" xfId="2428" xr:uid="{00000000-0005-0000-0000-00007C090000}"/>
    <cellStyle name="Normal 999" xfId="2429" xr:uid="{00000000-0005-0000-0000-00007D090000}"/>
    <cellStyle name="Standard_050131_PAX" xfId="55" xr:uid="{00000000-0005-0000-0000-00007E090000}"/>
  </cellStyles>
  <dxfs count="29">
    <dxf>
      <font>
        <b val="0"/>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dxf>
    <dxf>
      <border outline="0">
        <top style="thin">
          <color theme="0" tint="-0.24994659260841701"/>
        </top>
      </border>
    </dxf>
    <dxf>
      <border outline="0">
        <bottom style="thin">
          <color theme="0" tint="-0.24994659260841701"/>
        </bottom>
      </border>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border outline="0">
        <bottom style="thick">
          <color theme="0"/>
        </bottom>
      </border>
    </dxf>
    <dxf>
      <font>
        <b/>
        <i val="0"/>
        <strike val="0"/>
        <condense val="0"/>
        <extend val="0"/>
        <outline val="0"/>
        <shadow val="0"/>
        <u val="none"/>
        <vertAlign val="baseline"/>
        <sz val="11"/>
        <color theme="0"/>
        <name val="Calibri"/>
        <scheme val="minor"/>
      </font>
      <numFmt numFmtId="0" formatCode="General"/>
      <fill>
        <patternFill patternType="solid">
          <fgColor indexed="64"/>
          <bgColor theme="2" tint="-0.749961851863155"/>
        </patternFill>
      </fill>
      <alignment horizontal="general" vertical="bottom" textRotation="0" wrapText="0" indent="0" justifyLastLine="0" shrinkToFit="0" readingOrder="0"/>
    </dxf>
    <dxf>
      <fill>
        <patternFill>
          <bgColor rgb="FFC00000"/>
        </patternFill>
      </fill>
    </dxf>
    <dxf>
      <font>
        <b/>
        <i val="0"/>
        <color theme="5"/>
      </font>
      <fill>
        <patternFill>
          <bgColor theme="0" tint="-4.9989318521683403E-2"/>
        </patternFill>
      </fill>
    </dxf>
    <dxf>
      <font>
        <color rgb="FF0070C0"/>
      </font>
    </dxf>
    <dxf>
      <fill>
        <patternFill>
          <bgColor theme="9" tint="0.39994506668294322"/>
        </patternFill>
      </fill>
    </dxf>
    <dxf>
      <fill>
        <patternFill>
          <bgColor theme="0" tint="-4.9989318521683403E-2"/>
        </patternFill>
      </fill>
    </dxf>
    <dxf>
      <fill>
        <patternFill>
          <fgColor theme="1"/>
          <bgColor rgb="FFC00000"/>
        </patternFill>
      </fill>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1"/>
        <color theme="1"/>
        <name val="Arial"/>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1"/>
        <color theme="1"/>
        <name val="Arial"/>
        <scheme val="none"/>
      </font>
      <numFmt numFmtId="166" formatCode="dd\-mmm\-yyyy"/>
      <alignment horizontal="center"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1"/>
        <color theme="1"/>
        <name val="Arial"/>
        <scheme val="none"/>
      </font>
      <alignment horizontal="center" vertical="bottom"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Arial"/>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FFFF00"/>
        </patternFill>
      </fill>
    </dxf>
    <dxf>
      <fill>
        <patternFill>
          <bgColor rgb="FFFFFF00"/>
        </patternFill>
      </fill>
    </dxf>
    <dxf>
      <border>
        <top style="thin">
          <color theme="0" tint="-0.24994659260841701"/>
        </top>
        <bottom style="thin">
          <color theme="0" tint="-0.24994659260841701"/>
        </bottom>
        <horizontal style="thin">
          <color theme="0" tint="-0.24994659260841701"/>
        </horizontal>
      </border>
    </dxf>
    <dxf>
      <border>
        <top style="thin">
          <color theme="0" tint="-0.24994659260841701"/>
        </top>
        <bottom style="thin">
          <color theme="0" tint="-0.24994659260841701"/>
        </bottom>
        <horizontal style="thin">
          <color theme="0" tint="-0.24994659260841701"/>
        </horizontal>
      </border>
    </dxf>
    <dxf>
      <font>
        <b/>
        <i val="0"/>
        <color theme="0"/>
      </font>
      <fill>
        <patternFill>
          <bgColor theme="2" tint="-0.749961851863155"/>
        </patternFill>
      </fill>
      <border>
        <bottom style="thick">
          <color theme="0"/>
        </bottom>
      </border>
    </dxf>
  </dxfs>
  <tableStyles count="2" defaultTableStyle="TableStyleMedium9" defaultPivotStyle="PivotStyleMedium4">
    <tableStyle name="Table Style 1" pivot="0" count="3" xr9:uid="{00000000-0011-0000-FFFF-FFFF00000000}">
      <tableStyleElement type="headerRow" dxfId="28"/>
      <tableStyleElement type="firstRowStripe" dxfId="27"/>
      <tableStyleElement type="secondRowStripe" dxfId="26"/>
    </tableStyle>
    <tableStyle name="Table Style 2" pivot="0" count="0" xr9:uid="{00000000-0011-0000-FFFF-FFFF01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212912</xdr:colOff>
      <xdr:row>3</xdr:row>
      <xdr:rowOff>78440</xdr:rowOff>
    </xdr:from>
    <xdr:to>
      <xdr:col>2</xdr:col>
      <xdr:colOff>179294</xdr:colOff>
      <xdr:row>5</xdr:row>
      <xdr:rowOff>66673</xdr:rowOff>
    </xdr:to>
    <xdr:sp macro="" textlink="">
      <xdr:nvSpPr>
        <xdr:cNvPr id="3" name="Text Box 5">
          <a:extLst>
            <a:ext uri="{FF2B5EF4-FFF2-40B4-BE49-F238E27FC236}">
              <a16:creationId xmlns:a16="http://schemas.microsoft.com/office/drawing/2014/main" id="{00000000-0008-0000-0100-000003000000}"/>
            </a:ext>
          </a:extLst>
        </xdr:cNvPr>
        <xdr:cNvSpPr txBox="1">
          <a:spLocks noChangeArrowheads="1"/>
        </xdr:cNvSpPr>
      </xdr:nvSpPr>
      <xdr:spPr bwMode="auto">
        <a:xfrm>
          <a:off x="212912" y="602315"/>
          <a:ext cx="1680882" cy="350183"/>
        </a:xfrm>
        <a:prstGeom prst="rect">
          <a:avLst/>
        </a:prstGeom>
        <a:noFill/>
        <a:ln w="9525">
          <a:noFill/>
          <a:miter lim="800000"/>
          <a:headEnd/>
          <a:tailEnd/>
        </a:ln>
      </xdr:spPr>
      <xdr:txBody>
        <a:bodyPr vertOverflow="clip" wrap="square" lIns="91440" tIns="45720" rIns="91440" bIns="27432" anchor="t" upright="1"/>
        <a:lstStyle/>
        <a:p>
          <a:pPr algn="ctr" rtl="0">
            <a:defRPr sz="1000"/>
          </a:pPr>
          <a:r>
            <a:rPr lang="en-US" sz="500" b="0" i="0" u="none" strike="noStrike" baseline="0">
              <a:solidFill>
                <a:srgbClr val="808080"/>
              </a:solidFill>
              <a:latin typeface="Arial"/>
              <a:cs typeface="Arial"/>
            </a:rPr>
            <a:t>SAFRAN CABIN INC. 1620 Sunflower Ave, </a:t>
          </a:r>
          <a:br>
            <a:rPr lang="en-US" sz="500" b="0" i="0" u="none" strike="noStrike" baseline="0">
              <a:solidFill>
                <a:srgbClr val="808080"/>
              </a:solidFill>
              <a:latin typeface="Arial"/>
              <a:cs typeface="Arial"/>
            </a:rPr>
          </a:br>
          <a:r>
            <a:rPr lang="en-US" sz="500" b="0" i="0" u="none" strike="noStrike" baseline="0">
              <a:solidFill>
                <a:srgbClr val="808080"/>
              </a:solidFill>
              <a:latin typeface="Arial"/>
              <a:cs typeface="Arial"/>
            </a:rPr>
            <a:t>Costa Mesa, CA 92626, USA</a:t>
          </a:r>
        </a:p>
      </xdr:txBody>
    </xdr:sp>
    <xdr:clientData/>
  </xdr:twoCellAnchor>
  <xdr:oneCellAnchor>
    <xdr:from>
      <xdr:col>2</xdr:col>
      <xdr:colOff>291353</xdr:colOff>
      <xdr:row>1</xdr:row>
      <xdr:rowOff>11205</xdr:rowOff>
    </xdr:from>
    <xdr:ext cx="1361655" cy="177100"/>
    <xdr:sp macro="" textlink="">
      <xdr:nvSpPr>
        <xdr:cNvPr id="4" name="Text Box 5">
          <a:extLst>
            <a:ext uri="{FF2B5EF4-FFF2-40B4-BE49-F238E27FC236}">
              <a16:creationId xmlns:a16="http://schemas.microsoft.com/office/drawing/2014/main" id="{00000000-0008-0000-0100-000004000000}"/>
            </a:ext>
          </a:extLst>
        </xdr:cNvPr>
        <xdr:cNvSpPr txBox="1">
          <a:spLocks noChangeArrowheads="1"/>
        </xdr:cNvSpPr>
      </xdr:nvSpPr>
      <xdr:spPr bwMode="auto">
        <a:xfrm>
          <a:off x="2005853" y="201705"/>
          <a:ext cx="1361655" cy="177100"/>
        </a:xfrm>
        <a:prstGeom prst="rect">
          <a:avLst/>
        </a:prstGeom>
        <a:noFill/>
        <a:ln w="9525">
          <a:noFill/>
          <a:miter lim="800000"/>
          <a:headEnd/>
          <a:tailEnd/>
        </a:ln>
      </xdr:spPr>
      <xdr:txBody>
        <a:bodyPr vertOverflow="clip" wrap="none" lIns="91440" tIns="45720" rIns="91440" bIns="27432" anchor="ctr" anchorCtr="1" upright="1">
          <a:spAutoFit/>
        </a:bodyPr>
        <a:lstStyle/>
        <a:p>
          <a:pPr algn="l" rtl="0">
            <a:defRPr sz="1000"/>
          </a:pPr>
          <a:r>
            <a:rPr lang="en-US" sz="700" b="1" i="0" u="none" strike="noStrike" baseline="0">
              <a:solidFill>
                <a:sysClr val="windowText" lastClr="000000"/>
              </a:solidFill>
              <a:latin typeface="Arial"/>
              <a:cs typeface="Arial"/>
            </a:rPr>
            <a:t>EXPORT CLASSIFICATION:</a:t>
          </a:r>
        </a:p>
      </xdr:txBody>
    </xdr:sp>
    <xdr:clientData/>
  </xdr:oneCellAnchor>
  <xdr:oneCellAnchor>
    <xdr:from>
      <xdr:col>4</xdr:col>
      <xdr:colOff>1086971</xdr:colOff>
      <xdr:row>1</xdr:row>
      <xdr:rowOff>56030</xdr:rowOff>
    </xdr:from>
    <xdr:ext cx="1012457" cy="177100"/>
    <xdr:sp macro="" textlink="">
      <xdr:nvSpPr>
        <xdr:cNvPr id="5" name="Text Box 5">
          <a:extLst>
            <a:ext uri="{FF2B5EF4-FFF2-40B4-BE49-F238E27FC236}">
              <a16:creationId xmlns:a16="http://schemas.microsoft.com/office/drawing/2014/main" id="{00000000-0008-0000-0100-000005000000}"/>
            </a:ext>
          </a:extLst>
        </xdr:cNvPr>
        <xdr:cNvSpPr txBox="1">
          <a:spLocks noChangeArrowheads="1"/>
        </xdr:cNvSpPr>
      </xdr:nvSpPr>
      <xdr:spPr bwMode="auto">
        <a:xfrm>
          <a:off x="4687421" y="246530"/>
          <a:ext cx="1012457" cy="177100"/>
        </a:xfrm>
        <a:prstGeom prst="rect">
          <a:avLst/>
        </a:prstGeom>
        <a:noFill/>
        <a:ln w="9525">
          <a:noFill/>
          <a:miter lim="800000"/>
          <a:headEnd/>
          <a:tailEnd/>
        </a:ln>
      </xdr:spPr>
      <xdr:txBody>
        <a:bodyPr vertOverflow="clip" wrap="none" lIns="91440" tIns="45720" rIns="91440" bIns="27432" anchor="ctr" anchorCtr="1" upright="1">
          <a:spAutoFit/>
        </a:bodyPr>
        <a:lstStyle/>
        <a:p>
          <a:pPr algn="l" rtl="0">
            <a:defRPr sz="1000"/>
          </a:pPr>
          <a:r>
            <a:rPr lang="en-US" sz="700" b="1" i="0" u="none" strike="noStrike" baseline="0">
              <a:solidFill>
                <a:sysClr val="windowText" lastClr="000000"/>
              </a:solidFill>
              <a:latin typeface="Arial"/>
              <a:cs typeface="Arial"/>
            </a:rPr>
            <a:t>TITLE OF REPORT:</a:t>
          </a:r>
        </a:p>
      </xdr:txBody>
    </xdr:sp>
    <xdr:clientData/>
  </xdr:oneCellAnchor>
  <xdr:oneCellAnchor>
    <xdr:from>
      <xdr:col>7</xdr:col>
      <xdr:colOff>212912</xdr:colOff>
      <xdr:row>1</xdr:row>
      <xdr:rowOff>0</xdr:rowOff>
    </xdr:from>
    <xdr:ext cx="962764" cy="177100"/>
    <xdr:sp macro="" textlink="">
      <xdr:nvSpPr>
        <xdr:cNvPr id="6" name="Text Box 5">
          <a:extLst>
            <a:ext uri="{FF2B5EF4-FFF2-40B4-BE49-F238E27FC236}">
              <a16:creationId xmlns:a16="http://schemas.microsoft.com/office/drawing/2014/main" id="{00000000-0008-0000-0100-000006000000}"/>
            </a:ext>
          </a:extLst>
        </xdr:cNvPr>
        <xdr:cNvSpPr txBox="1">
          <a:spLocks noChangeArrowheads="1"/>
        </xdr:cNvSpPr>
      </xdr:nvSpPr>
      <xdr:spPr bwMode="auto">
        <a:xfrm>
          <a:off x="7051862" y="190500"/>
          <a:ext cx="962764" cy="177100"/>
        </a:xfrm>
        <a:prstGeom prst="rect">
          <a:avLst/>
        </a:prstGeom>
        <a:noFill/>
        <a:ln w="9525">
          <a:noFill/>
          <a:miter lim="800000"/>
          <a:headEnd/>
          <a:tailEnd/>
        </a:ln>
      </xdr:spPr>
      <xdr:txBody>
        <a:bodyPr vertOverflow="clip" wrap="none" lIns="91440" tIns="45720" rIns="91440" bIns="27432" anchor="ctr" anchorCtr="1" upright="1">
          <a:spAutoFit/>
        </a:bodyPr>
        <a:lstStyle/>
        <a:p>
          <a:pPr algn="l" rtl="0">
            <a:defRPr sz="1000"/>
          </a:pPr>
          <a:r>
            <a:rPr lang="en-US" sz="700" b="1" i="0" u="none" strike="noStrike" baseline="0">
              <a:solidFill>
                <a:sysClr val="windowText" lastClr="000000"/>
              </a:solidFill>
              <a:latin typeface="Arial"/>
              <a:cs typeface="Arial"/>
            </a:rPr>
            <a:t>REVISION / DATE:</a:t>
          </a:r>
        </a:p>
      </xdr:txBody>
    </xdr:sp>
    <xdr:clientData/>
  </xdr:oneCellAnchor>
  <xdr:twoCellAnchor editAs="oneCell">
    <xdr:from>
      <xdr:col>1</xdr:col>
      <xdr:colOff>140367</xdr:colOff>
      <xdr:row>1</xdr:row>
      <xdr:rowOff>150394</xdr:rowOff>
    </xdr:from>
    <xdr:to>
      <xdr:col>1</xdr:col>
      <xdr:colOff>1195490</xdr:colOff>
      <xdr:row>3</xdr:row>
      <xdr:rowOff>52343</xdr:rowOff>
    </xdr:to>
    <xdr:pic>
      <xdr:nvPicPr>
        <xdr:cNvPr id="8" name="Picture 7">
          <a:extLst>
            <a:ext uri="{FF2B5EF4-FFF2-40B4-BE49-F238E27FC236}">
              <a16:creationId xmlns:a16="http://schemas.microsoft.com/office/drawing/2014/main" id="{0952F4DB-D350-4A8D-BD20-CAC36E7CDE24}"/>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1314" y="340894"/>
          <a:ext cx="1055123" cy="23281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0</xdr:colOff>
      <xdr:row>61</xdr:row>
      <xdr:rowOff>11206</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0" y="0"/>
          <a:ext cx="8774206" cy="11015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46" b="1">
              <a:solidFill>
                <a:schemeClr val="dk1"/>
              </a:solidFill>
              <a:effectLst/>
              <a:latin typeface="+mn-lt"/>
              <a:ea typeface="+mn-ea"/>
              <a:cs typeface="+mn-cs"/>
            </a:rPr>
            <a:t>How to use this document </a:t>
          </a:r>
          <a:endParaRPr lang="en-US" sz="1146">
            <a:solidFill>
              <a:schemeClr val="dk1"/>
            </a:solidFill>
            <a:effectLst/>
            <a:latin typeface="+mn-lt"/>
            <a:ea typeface="+mn-ea"/>
            <a:cs typeface="+mn-cs"/>
          </a:endParaRPr>
        </a:p>
        <a:p>
          <a:pPr lvl="0"/>
          <a:r>
            <a:rPr lang="en-US" sz="1146" b="1">
              <a:solidFill>
                <a:schemeClr val="dk1"/>
              </a:solidFill>
              <a:effectLst/>
              <a:latin typeface="+mn-lt"/>
              <a:ea typeface="+mn-ea"/>
              <a:cs typeface="+mn-cs"/>
            </a:rPr>
            <a:t>1.</a:t>
          </a:r>
          <a:r>
            <a:rPr lang="en-US" sz="1146" b="1" baseline="0">
              <a:solidFill>
                <a:schemeClr val="dk1"/>
              </a:solidFill>
              <a:effectLst/>
              <a:latin typeface="+mn-lt"/>
              <a:ea typeface="+mn-ea"/>
              <a:cs typeface="+mn-cs"/>
            </a:rPr>
            <a:t> </a:t>
          </a:r>
          <a:r>
            <a:rPr lang="en-US" sz="1146" b="1">
              <a:solidFill>
                <a:schemeClr val="dk1"/>
              </a:solidFill>
              <a:effectLst/>
              <a:latin typeface="+mn-lt"/>
              <a:ea typeface="+mn-ea"/>
              <a:cs typeface="+mn-cs"/>
            </a:rPr>
            <a:t>Intent </a:t>
          </a:r>
          <a:endParaRPr lang="en-US" sz="1146">
            <a:solidFill>
              <a:schemeClr val="dk1"/>
            </a:solidFill>
            <a:effectLst/>
            <a:latin typeface="+mn-lt"/>
            <a:ea typeface="+mn-ea"/>
            <a:cs typeface="+mn-cs"/>
          </a:endParaRPr>
        </a:p>
        <a:p>
          <a:r>
            <a:rPr lang="en-US" sz="1146">
              <a:solidFill>
                <a:schemeClr val="dk1"/>
              </a:solidFill>
              <a:effectLst/>
              <a:latin typeface="+mn-lt"/>
              <a:ea typeface="+mn-ea"/>
              <a:cs typeface="+mn-cs"/>
            </a:rPr>
            <a:t>The intent of this document is to present the trim and finish information for the HOV assembly in a simple and clear manner. The intent of the trim and finish methodology is to prevent model and drawing revision changes due to trim and finish changes. A bill of materials for the HOV assembly is attached showing the configuration codes only for its configurable parts and assemblies. The detail code definitions are found in E559003 and the location definitions are found on the applicable/relevant engineering drawings. </a:t>
          </a:r>
        </a:p>
        <a:p>
          <a:endParaRPr lang="en-US" sz="1146">
            <a:solidFill>
              <a:schemeClr val="dk1"/>
            </a:solidFill>
            <a:effectLst/>
            <a:latin typeface="+mn-lt"/>
            <a:ea typeface="+mn-ea"/>
            <a:cs typeface="+mn-cs"/>
          </a:endParaRPr>
        </a:p>
        <a:p>
          <a:r>
            <a:rPr lang="en-US" sz="1146" b="1" baseline="0">
              <a:solidFill>
                <a:schemeClr val="dk1"/>
              </a:solidFill>
              <a:effectLst/>
              <a:latin typeface="+mn-lt"/>
              <a:ea typeface="+mn-ea"/>
              <a:cs typeface="+mn-cs"/>
            </a:rPr>
            <a:t>        </a:t>
          </a:r>
          <a:r>
            <a:rPr lang="en-US" sz="1146" b="1">
              <a:solidFill>
                <a:schemeClr val="dk1"/>
              </a:solidFill>
              <a:effectLst/>
              <a:latin typeface="+mn-lt"/>
              <a:ea typeface="+mn-ea"/>
              <a:cs typeface="+mn-cs"/>
            </a:rPr>
            <a:t>This document controls only configurable part numbers, hidden part numbers on "AAA</a:t>
          </a:r>
          <a:r>
            <a:rPr lang="en-US" sz="1146" b="1" baseline="0">
              <a:solidFill>
                <a:schemeClr val="dk1"/>
              </a:solidFill>
              <a:effectLst/>
              <a:latin typeface="+mn-lt"/>
              <a:ea typeface="+mn-ea"/>
              <a:cs typeface="+mn-cs"/>
            </a:rPr>
            <a:t> ''</a:t>
          </a:r>
          <a:r>
            <a:rPr lang="en-US" sz="1146" b="1">
              <a:solidFill>
                <a:schemeClr val="dk1"/>
              </a:solidFill>
              <a:effectLst/>
              <a:latin typeface="+mn-lt"/>
              <a:ea typeface="+mn-ea"/>
              <a:cs typeface="+mn-cs"/>
            </a:rPr>
            <a:t> tabs must NOT be unhidden or used as reference.</a:t>
          </a:r>
          <a:endParaRPr lang="en-US" sz="1146">
            <a:solidFill>
              <a:schemeClr val="dk1"/>
            </a:solidFill>
            <a:effectLst/>
            <a:latin typeface="+mn-lt"/>
            <a:ea typeface="+mn-ea"/>
            <a:cs typeface="+mn-cs"/>
          </a:endParaRPr>
        </a:p>
        <a:p>
          <a:pPr lvl="0"/>
          <a:endParaRPr lang="en-US" sz="1146" b="1">
            <a:solidFill>
              <a:schemeClr val="dk1"/>
            </a:solidFill>
            <a:effectLst/>
            <a:latin typeface="+mn-lt"/>
            <a:ea typeface="+mn-ea"/>
            <a:cs typeface="+mn-cs"/>
          </a:endParaRPr>
        </a:p>
        <a:p>
          <a:pPr lvl="0"/>
          <a:r>
            <a:rPr lang="en-US" sz="1146" b="1">
              <a:solidFill>
                <a:schemeClr val="dk1"/>
              </a:solidFill>
              <a:effectLst/>
              <a:latin typeface="+mn-lt"/>
              <a:ea typeface="+mn-ea"/>
              <a:cs typeface="+mn-cs"/>
            </a:rPr>
            <a:t>2</a:t>
          </a:r>
          <a:r>
            <a:rPr lang="en-US" sz="1146" b="1" baseline="0">
              <a:solidFill>
                <a:schemeClr val="dk1"/>
              </a:solidFill>
              <a:effectLst/>
              <a:latin typeface="+mn-lt"/>
              <a:ea typeface="+mn-ea"/>
              <a:cs typeface="+mn-cs"/>
            </a:rPr>
            <a:t>. </a:t>
          </a:r>
          <a:r>
            <a:rPr lang="en-US" sz="1146" b="1">
              <a:solidFill>
                <a:schemeClr val="dk1"/>
              </a:solidFill>
              <a:effectLst/>
              <a:latin typeface="+mn-lt"/>
              <a:ea typeface="+mn-ea"/>
              <a:cs typeface="+mn-cs"/>
            </a:rPr>
            <a:t>Configuration Codes </a:t>
          </a:r>
          <a:endParaRPr lang="en-US" sz="1146">
            <a:solidFill>
              <a:schemeClr val="dk1"/>
            </a:solidFill>
            <a:effectLst/>
            <a:latin typeface="+mn-lt"/>
            <a:ea typeface="+mn-ea"/>
            <a:cs typeface="+mn-cs"/>
          </a:endParaRPr>
        </a:p>
        <a:p>
          <a:r>
            <a:rPr lang="en-US" sz="1146">
              <a:solidFill>
                <a:schemeClr val="dk1"/>
              </a:solidFill>
              <a:effectLst/>
              <a:latin typeface="+mn-lt"/>
              <a:ea typeface="+mn-ea"/>
              <a:cs typeface="+mn-cs"/>
            </a:rPr>
            <a:t>Due to the levels of complexity of the trim and finish for the E2 program there are multiple types of configuration codes that can be applied to a part number.  These codes range from one letter to four letters long and are categorized as detail codes, assembly codes, SAFRAN controlled part or assembly codes, and graphic codes.</a:t>
          </a:r>
        </a:p>
        <a:p>
          <a:pPr lvl="1"/>
          <a:r>
            <a:rPr lang="en-US" sz="1146" b="1">
              <a:solidFill>
                <a:schemeClr val="dk1"/>
              </a:solidFill>
              <a:effectLst/>
              <a:latin typeface="+mn-lt"/>
              <a:ea typeface="+mn-ea"/>
              <a:cs typeface="+mn-cs"/>
            </a:rPr>
            <a:t>2.1 Detail Code</a:t>
          </a:r>
        </a:p>
        <a:p>
          <a:r>
            <a:rPr lang="en-US" sz="1146">
              <a:solidFill>
                <a:schemeClr val="dk1"/>
              </a:solidFill>
              <a:effectLst/>
              <a:latin typeface="+mn-lt"/>
              <a:ea typeface="+mn-ea"/>
              <a:cs typeface="+mn-cs"/>
            </a:rPr>
            <a:t>A detail code can be applied to any part or assembly which has décor applied at that level. For example, an assembly such as the header assembly has a detail code because these components are assembled and then painted together. </a:t>
          </a:r>
        </a:p>
        <a:p>
          <a:r>
            <a:rPr lang="en-US" sz="1146">
              <a:solidFill>
                <a:schemeClr val="dk1"/>
              </a:solidFill>
              <a:effectLst/>
              <a:latin typeface="+mn-lt"/>
              <a:ea typeface="+mn-ea"/>
              <a:cs typeface="+mn-cs"/>
            </a:rPr>
            <a:t>Example of Detail Code:</a:t>
          </a:r>
        </a:p>
        <a:p>
          <a:r>
            <a:rPr lang="en-US" sz="1146">
              <a:solidFill>
                <a:schemeClr val="dk1"/>
              </a:solidFill>
              <a:effectLst/>
              <a:latin typeface="+mn-lt"/>
              <a:ea typeface="+mn-ea"/>
              <a:cs typeface="+mn-cs"/>
            </a:rPr>
            <a:t>H062132EAFA1 (Base number: </a:t>
          </a:r>
          <a:r>
            <a:rPr lang="en-US" sz="1100">
              <a:solidFill>
                <a:schemeClr val="dk1"/>
              </a:solidFill>
              <a:effectLst/>
              <a:latin typeface="+mn-lt"/>
              <a:ea typeface="+mn-ea"/>
              <a:cs typeface="+mn-cs"/>
            </a:rPr>
            <a:t>H062132</a:t>
          </a:r>
          <a:r>
            <a:rPr lang="en-US" sz="1146">
              <a:solidFill>
                <a:schemeClr val="dk1"/>
              </a:solidFill>
              <a:effectLst/>
              <a:latin typeface="+mn-lt"/>
              <a:ea typeface="+mn-ea"/>
              <a:cs typeface="+mn-cs"/>
            </a:rPr>
            <a:t>, Configuration code: EAFA, Dash number: 1)</a:t>
          </a:r>
        </a:p>
        <a:p>
          <a:pPr lvl="1"/>
          <a:r>
            <a:rPr lang="en-US" sz="1146" b="1">
              <a:solidFill>
                <a:schemeClr val="dk1"/>
              </a:solidFill>
              <a:effectLst/>
              <a:latin typeface="+mn-lt"/>
              <a:ea typeface="+mn-ea"/>
              <a:cs typeface="+mn-cs"/>
            </a:rPr>
            <a:t>2.2 Assembly Code</a:t>
          </a:r>
        </a:p>
        <a:p>
          <a:r>
            <a:rPr lang="en-US" sz="1146">
              <a:solidFill>
                <a:schemeClr val="dk1"/>
              </a:solidFill>
              <a:effectLst/>
              <a:latin typeface="+mn-lt"/>
              <a:ea typeface="+mn-ea"/>
              <a:cs typeface="+mn-cs"/>
            </a:rPr>
            <a:t> An assembly code is applied to any assembly or installation which is composed by configurable items. </a:t>
          </a:r>
        </a:p>
        <a:p>
          <a:r>
            <a:rPr lang="en-US" sz="1146">
              <a:solidFill>
                <a:schemeClr val="dk1"/>
              </a:solidFill>
              <a:effectLst/>
              <a:latin typeface="+mn-lt"/>
              <a:ea typeface="+mn-ea"/>
              <a:cs typeface="+mn-cs"/>
            </a:rPr>
            <a:t> Example of Assembly Code:</a:t>
          </a:r>
        </a:p>
        <a:p>
          <a:r>
            <a:rPr lang="en-US" sz="1146">
              <a:solidFill>
                <a:schemeClr val="dk1"/>
              </a:solidFill>
              <a:effectLst/>
              <a:latin typeface="+mn-lt"/>
              <a:ea typeface="+mn-ea"/>
              <a:cs typeface="+mn-cs"/>
            </a:rPr>
            <a:t>H069402AAA501 (Base number: </a:t>
          </a:r>
          <a:r>
            <a:rPr lang="en-US" sz="1100">
              <a:solidFill>
                <a:schemeClr val="dk1"/>
              </a:solidFill>
              <a:effectLst/>
              <a:latin typeface="+mn-lt"/>
              <a:ea typeface="+mn-ea"/>
              <a:cs typeface="+mn-cs"/>
            </a:rPr>
            <a:t>H069402</a:t>
          </a:r>
          <a:r>
            <a:rPr lang="en-US" sz="1146">
              <a:solidFill>
                <a:schemeClr val="dk1"/>
              </a:solidFill>
              <a:effectLst/>
              <a:latin typeface="+mn-lt"/>
              <a:ea typeface="+mn-ea"/>
              <a:cs typeface="+mn-cs"/>
            </a:rPr>
            <a:t>, Configuration code: AAA, Dash number: 501)</a:t>
          </a:r>
        </a:p>
        <a:p>
          <a:pPr lvl="1"/>
          <a:r>
            <a:rPr lang="en-US" sz="1146" b="1">
              <a:solidFill>
                <a:schemeClr val="dk1"/>
              </a:solidFill>
              <a:effectLst/>
              <a:latin typeface="+mn-lt"/>
              <a:ea typeface="+mn-ea"/>
              <a:cs typeface="+mn-cs"/>
            </a:rPr>
            <a:t>2.3 SAFRAN Controlled Part or Assembly Code</a:t>
          </a:r>
        </a:p>
        <a:p>
          <a:r>
            <a:rPr lang="en-US" sz="1146">
              <a:solidFill>
                <a:schemeClr val="dk1"/>
              </a:solidFill>
              <a:effectLst/>
              <a:latin typeface="+mn-lt"/>
              <a:ea typeface="+mn-ea"/>
              <a:cs typeface="+mn-cs"/>
            </a:rPr>
            <a:t>A SAFRAN controlled part code is applied to any part or assembly with the prefix CDEX, CDSP, or CDPL. These codes are different than detail codes because they are used companywide.</a:t>
          </a:r>
        </a:p>
        <a:p>
          <a:r>
            <a:rPr lang="en-US" sz="1146">
              <a:solidFill>
                <a:schemeClr val="dk1"/>
              </a:solidFill>
              <a:effectLst/>
              <a:latin typeface="+mn-lt"/>
              <a:ea typeface="+mn-ea"/>
              <a:cs typeface="+mn-cs"/>
            </a:rPr>
            <a:t>Example of SAFRAN Controlled Part or Assembly Code:</a:t>
          </a:r>
        </a:p>
        <a:p>
          <a:r>
            <a:rPr lang="en-US" sz="1146">
              <a:solidFill>
                <a:schemeClr val="dk1"/>
              </a:solidFill>
              <a:effectLst/>
              <a:latin typeface="+mn-lt"/>
              <a:ea typeface="+mn-ea"/>
              <a:cs typeface="+mn-cs"/>
            </a:rPr>
            <a:t>CDSP3817A1 (Base number: CDSP3817, Configuration code: A, Dash number: 1)</a:t>
          </a:r>
        </a:p>
        <a:p>
          <a:r>
            <a:rPr lang="en-US" sz="1146">
              <a:solidFill>
                <a:schemeClr val="dk1"/>
              </a:solidFill>
              <a:effectLst/>
              <a:latin typeface="+mn-lt"/>
              <a:ea typeface="+mn-ea"/>
              <a:cs typeface="+mn-cs"/>
            </a:rPr>
            <a:t> </a:t>
          </a:r>
        </a:p>
        <a:p>
          <a:pPr lvl="0"/>
          <a:r>
            <a:rPr lang="en-US" sz="1146" b="1">
              <a:solidFill>
                <a:schemeClr val="dk1"/>
              </a:solidFill>
              <a:effectLst/>
              <a:latin typeface="+mn-lt"/>
              <a:ea typeface="+mn-ea"/>
              <a:cs typeface="+mn-cs"/>
            </a:rPr>
            <a:t>3. Location</a:t>
          </a:r>
          <a:r>
            <a:rPr lang="en-US" sz="1146">
              <a:solidFill>
                <a:schemeClr val="dk1"/>
              </a:solidFill>
              <a:effectLst/>
              <a:latin typeface="+mn-lt"/>
              <a:ea typeface="+mn-ea"/>
              <a:cs typeface="+mn-cs"/>
            </a:rPr>
            <a:t> </a:t>
          </a:r>
        </a:p>
        <a:p>
          <a:r>
            <a:rPr lang="en-US" sz="1146">
              <a:solidFill>
                <a:schemeClr val="dk1"/>
              </a:solidFill>
              <a:effectLst/>
              <a:latin typeface="+mn-lt"/>
              <a:ea typeface="+mn-ea"/>
              <a:cs typeface="+mn-cs"/>
            </a:rPr>
            <a:t>Location refers to where, on a part or assembly, décor is applied. It is divided into three categories:  specific location, make from, and whole part:</a:t>
          </a:r>
        </a:p>
        <a:p>
          <a:pPr lvl="1"/>
          <a:r>
            <a:rPr lang="en-US" sz="1146" b="1">
              <a:solidFill>
                <a:schemeClr val="dk1"/>
              </a:solidFill>
              <a:effectLst/>
              <a:latin typeface="+mn-lt"/>
              <a:ea typeface="+mn-ea"/>
              <a:cs typeface="+mn-cs"/>
            </a:rPr>
            <a:t>3.1 Specific Location</a:t>
          </a:r>
        </a:p>
        <a:p>
          <a:r>
            <a:rPr lang="en-US" sz="1146">
              <a:solidFill>
                <a:schemeClr val="dk1"/>
              </a:solidFill>
              <a:effectLst/>
              <a:latin typeface="+mn-lt"/>
              <a:ea typeface="+mn-ea"/>
              <a:cs typeface="+mn-cs"/>
            </a:rPr>
            <a:t>Parts or assemblies which specify where to apply décor have that décor position identified on their engineering drawing. The locations are labeled as TF1, TF2, etc. The labels increase in ascending order, and the number of labels refers to the number of possible locations for different decors to be applied. For example, on the panel assemblies, such as H061036-503, there is a TF1 and a TF2 because there are two different locations where different décor can be applied, the exterior of the lavatory and the interior of the lavatory. </a:t>
          </a:r>
        </a:p>
        <a:p>
          <a:pPr lvl="1"/>
          <a:r>
            <a:rPr lang="en-US" sz="1146" b="1">
              <a:solidFill>
                <a:schemeClr val="dk1"/>
              </a:solidFill>
              <a:effectLst/>
              <a:latin typeface="+mn-lt"/>
              <a:ea typeface="+mn-ea"/>
              <a:cs typeface="+mn-cs"/>
            </a:rPr>
            <a:t>3.2 Make From</a:t>
          </a:r>
        </a:p>
        <a:p>
          <a:r>
            <a:rPr lang="en-US" sz="1146">
              <a:solidFill>
                <a:schemeClr val="dk1"/>
              </a:solidFill>
              <a:effectLst/>
              <a:latin typeface="+mn-lt"/>
              <a:ea typeface="+mn-ea"/>
              <a:cs typeface="+mn-cs"/>
            </a:rPr>
            <a:t>A “make from” location signifies that the décor is integral to the fabrication of the part. An example of a part which requires a make from designation is a silicone rubber seal extrusion. The color and texture are applied into the material’s composition before it is extruded. In essence, is it “made from” that color and texture material.</a:t>
          </a:r>
        </a:p>
        <a:p>
          <a:pPr lvl="1"/>
          <a:r>
            <a:rPr lang="en-US" sz="1146" b="1">
              <a:solidFill>
                <a:schemeClr val="dk1"/>
              </a:solidFill>
              <a:effectLst/>
              <a:latin typeface="+mn-lt"/>
              <a:ea typeface="+mn-ea"/>
              <a:cs typeface="+mn-cs"/>
            </a:rPr>
            <a:t>3.3 Whole Part</a:t>
          </a:r>
        </a:p>
        <a:p>
          <a:r>
            <a:rPr lang="en-US" sz="1146">
              <a:solidFill>
                <a:schemeClr val="dk1"/>
              </a:solidFill>
              <a:effectLst/>
              <a:latin typeface="+mn-lt"/>
              <a:ea typeface="+mn-ea"/>
              <a:cs typeface="+mn-cs"/>
            </a:rPr>
            <a:t>A “whole part” location means that the entire part has the décor applied, such as a part painted. it is mostly applicable for small part that required décor all over the part, no need to have décor position identified on their engineering drawing.</a:t>
          </a:r>
        </a:p>
        <a:p>
          <a:endParaRPr lang="en-US" sz="1146">
            <a:solidFill>
              <a:schemeClr val="dk1"/>
            </a:solidFill>
            <a:effectLst/>
            <a:latin typeface="+mn-lt"/>
            <a:ea typeface="+mn-ea"/>
            <a:cs typeface="+mn-cs"/>
          </a:endParaRPr>
        </a:p>
        <a:p>
          <a:pPr lvl="0"/>
          <a:r>
            <a:rPr lang="en-US" sz="1146" b="1">
              <a:solidFill>
                <a:schemeClr val="dk1"/>
              </a:solidFill>
              <a:effectLst/>
              <a:latin typeface="+mn-lt"/>
              <a:ea typeface="+mn-ea"/>
              <a:cs typeface="+mn-cs"/>
            </a:rPr>
            <a:t>4. Effectivity</a:t>
          </a:r>
          <a:endParaRPr lang="en-US" sz="1146">
            <a:solidFill>
              <a:schemeClr val="dk1"/>
            </a:solidFill>
            <a:effectLst/>
            <a:latin typeface="+mn-lt"/>
            <a:ea typeface="+mn-ea"/>
            <a:cs typeface="+mn-cs"/>
          </a:endParaRPr>
        </a:p>
        <a:p>
          <a:r>
            <a:rPr lang="en-US" sz="1146">
              <a:solidFill>
                <a:schemeClr val="dk1"/>
              </a:solidFill>
              <a:effectLst/>
              <a:latin typeface="+mn-lt"/>
              <a:ea typeface="+mn-ea"/>
              <a:cs typeface="+mn-cs"/>
            </a:rPr>
            <a:t>For effectivity applicability see MKL</a:t>
          </a:r>
          <a:r>
            <a:rPr lang="en-US" sz="1146" baseline="0">
              <a:solidFill>
                <a:schemeClr val="dk1"/>
              </a:solidFill>
              <a:effectLst/>
              <a:latin typeface="+mn-lt"/>
              <a:ea typeface="+mn-ea"/>
              <a:cs typeface="+mn-cs"/>
            </a:rPr>
            <a:t> Configuration</a:t>
          </a:r>
          <a:endParaRPr lang="en-US" sz="1146">
            <a:solidFill>
              <a:sysClr val="windowText" lastClr="000000"/>
            </a:solidFill>
            <a:latin typeface="Arial" panose="020B0604020202020204" pitchFamily="34" charset="0"/>
            <a:cs typeface="Arial" panose="020B0604020202020204" pitchFamily="34" charset="0"/>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4:H5" totalsRowShown="0" headerRowDxfId="23" dataDxfId="21" headerRowBorderDxfId="22" tableBorderDxfId="20" totalsRowBorderDxfId="19">
  <tableColumns count="7">
    <tableColumn id="1" xr3:uid="{00000000-0010-0000-0000-000001000000}" name="Rev" dataDxfId="18">
      <calculatedColumnFormula>VLOOKUP(SUPPORT!B2,SUPPORT!B:B,1,0)</calculatedColumnFormula>
    </tableColumn>
    <tableColumn id="2" xr3:uid="{00000000-0010-0000-0000-000002000000}" name="Date" dataDxfId="17"/>
    <tableColumn id="3" xr3:uid="{00000000-0010-0000-0000-000003000000}" name="Prepared By" dataDxfId="16"/>
    <tableColumn id="4" xr3:uid="{00000000-0010-0000-0000-000004000000}" name="Checked By" dataDxfId="15"/>
    <tableColumn id="5" xr3:uid="{00000000-0010-0000-0000-000005000000}" name="Approved By" dataDxfId="14"/>
    <tableColumn id="6" xr3:uid="{00000000-0010-0000-0000-000006000000}" name="Industrialization" dataDxfId="13"/>
    <tableColumn id="7" xr3:uid="{00000000-0010-0000-0000-000007000000}" name="Mat. And Process" dataDxfId="12"/>
  </tableColumns>
  <tableStyleInfo name="Table Style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D1:D41" totalsRowShown="0" headerRowDxfId="5" dataDxfId="3" headerRowBorderDxfId="4" tableBorderDxfId="2" totalsRowBorderDxfId="1" headerRowCellStyle="Normal 1816" dataCellStyle="Normal 1816">
  <autoFilter ref="D1:D41" xr:uid="{00000000-0009-0000-0100-000003000000}"/>
  <sortState xmlns:xlrd2="http://schemas.microsoft.com/office/spreadsheetml/2017/richdata2" ref="D2:D41">
    <sortCondition ref="D1:D41"/>
  </sortState>
  <tableColumns count="1">
    <tableColumn id="1" xr3:uid="{00000000-0010-0000-0200-000001000000}" name="UNIT ECCN: EAR99" dataDxfId="0" dataCellStyle="Normal 1816"/>
  </tableColumns>
  <tableStyleInfo name="Table Style 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1:H58"/>
  <sheetViews>
    <sheetView showGridLines="0" view="pageBreakPreview" zoomScale="70" zoomScaleNormal="100" zoomScaleSheetLayoutView="70" zoomScalePageLayoutView="70" workbookViewId="0">
      <selection activeCell="C21" sqref="C21:E21"/>
    </sheetView>
  </sheetViews>
  <sheetFormatPr defaultColWidth="9" defaultRowHeight="14.25" x14ac:dyDescent="0.2"/>
  <cols>
    <col min="1" max="1" width="4.75" style="1" customWidth="1"/>
    <col min="2" max="3" width="17.75" style="1" customWidth="1"/>
    <col min="4" max="4" width="7" style="1" customWidth="1"/>
    <col min="5" max="6" width="17.75" style="1" customWidth="1"/>
    <col min="7" max="7" width="7" style="1" customWidth="1"/>
    <col min="8" max="8" width="17.75" style="1" customWidth="1"/>
    <col min="9" max="9" width="4.75" style="1" customWidth="1"/>
    <col min="10" max="16384" width="9" style="1"/>
  </cols>
  <sheetData>
    <row r="1" spans="2:8" ht="15" thickBot="1" x14ac:dyDescent="0.25"/>
    <row r="2" spans="2:8" ht="12" customHeight="1" thickTop="1" x14ac:dyDescent="0.2">
      <c r="B2" s="51"/>
      <c r="C2" s="54" t="s">
        <v>328</v>
      </c>
      <c r="D2" s="54"/>
      <c r="E2" s="51" t="s">
        <v>28</v>
      </c>
      <c r="F2" s="51"/>
      <c r="G2" s="51"/>
      <c r="H2" s="31"/>
    </row>
    <row r="3" spans="2:8" x14ac:dyDescent="0.2">
      <c r="B3" s="52"/>
      <c r="C3" s="55"/>
      <c r="D3" s="55"/>
      <c r="E3" s="52"/>
      <c r="F3" s="52"/>
      <c r="G3" s="52"/>
      <c r="H3" s="30" t="str">
        <f>"Rev "&amp;LOOKUP(2,1/(Approvals!B5:B985&lt;&gt;""),Approvals!B5:B985)</f>
        <v>Rev NC</v>
      </c>
    </row>
    <row r="4" spans="2:8" x14ac:dyDescent="0.2">
      <c r="B4" s="52"/>
      <c r="C4" s="55"/>
      <c r="D4" s="55"/>
      <c r="E4" s="52"/>
      <c r="F4" s="52"/>
      <c r="G4" s="52"/>
      <c r="H4" s="30" t="s">
        <v>7</v>
      </c>
    </row>
    <row r="5" spans="2:8" x14ac:dyDescent="0.2">
      <c r="B5" s="52"/>
      <c r="C5" s="55"/>
      <c r="D5" s="55"/>
      <c r="E5" s="52"/>
      <c r="F5" s="52"/>
      <c r="G5" s="52"/>
      <c r="H5" s="38">
        <f>LOOKUP(2,1/(Approvals!C5:C985&lt;&gt;""),Approvals!C5:C985)</f>
        <v>46009</v>
      </c>
    </row>
    <row r="6" spans="2:8" ht="8.25" customHeight="1" thickBot="1" x14ac:dyDescent="0.25">
      <c r="B6" s="53"/>
      <c r="C6" s="56"/>
      <c r="D6" s="56"/>
      <c r="E6" s="53"/>
      <c r="F6" s="53"/>
      <c r="G6" s="53"/>
      <c r="H6" s="32"/>
    </row>
    <row r="7" spans="2:8" ht="15" thickTop="1" x14ac:dyDescent="0.2"/>
    <row r="13" spans="2:8" ht="18" x14ac:dyDescent="0.25">
      <c r="C13" s="2" t="s">
        <v>0</v>
      </c>
      <c r="D13" s="2"/>
      <c r="E13" s="3" t="str">
        <f>"CF-"&amp;E19</f>
        <v>CF-H088009-101</v>
      </c>
      <c r="F13" s="3"/>
    </row>
    <row r="14" spans="2:8" ht="18" x14ac:dyDescent="0.25">
      <c r="C14" s="2"/>
      <c r="D14" s="2"/>
      <c r="E14" s="3"/>
      <c r="F14" s="3"/>
    </row>
    <row r="15" spans="2:8" ht="18" x14ac:dyDescent="0.25">
      <c r="C15" s="2" t="s">
        <v>1</v>
      </c>
      <c r="D15" s="2"/>
      <c r="E15" s="3" t="s">
        <v>22</v>
      </c>
      <c r="F15" s="3"/>
    </row>
    <row r="16" spans="2:8" ht="18" x14ac:dyDescent="0.25">
      <c r="C16" s="2"/>
      <c r="D16" s="2"/>
      <c r="E16" s="3"/>
      <c r="F16" s="3"/>
    </row>
    <row r="17" spans="3:6" ht="18" x14ac:dyDescent="0.25">
      <c r="C17" s="2" t="s">
        <v>2</v>
      </c>
      <c r="D17" s="2"/>
      <c r="E17" s="57" t="s">
        <v>302</v>
      </c>
      <c r="F17" s="57"/>
    </row>
    <row r="18" spans="3:6" ht="18" x14ac:dyDescent="0.25">
      <c r="C18" s="2"/>
      <c r="D18" s="2"/>
      <c r="E18" s="3"/>
      <c r="F18" s="3"/>
    </row>
    <row r="19" spans="3:6" ht="18" x14ac:dyDescent="0.25">
      <c r="C19" s="2" t="s">
        <v>3</v>
      </c>
      <c r="D19" s="2"/>
      <c r="E19" s="3" t="s">
        <v>329</v>
      </c>
      <c r="F19" s="3"/>
    </row>
    <row r="20" spans="3:6" ht="18" x14ac:dyDescent="0.25">
      <c r="C20" s="2"/>
      <c r="D20" s="2"/>
      <c r="E20" s="3"/>
      <c r="F20" s="3"/>
    </row>
    <row r="21" spans="3:6" ht="18" x14ac:dyDescent="0.25">
      <c r="C21" s="2" t="s">
        <v>4</v>
      </c>
      <c r="D21" s="2"/>
      <c r="E21" s="3" t="s">
        <v>23</v>
      </c>
      <c r="F21" s="3"/>
    </row>
    <row r="22" spans="3:6" ht="18" x14ac:dyDescent="0.25">
      <c r="C22" s="2"/>
      <c r="D22" s="2"/>
      <c r="E22" s="3"/>
      <c r="F22" s="3"/>
    </row>
    <row r="23" spans="3:6" ht="18" x14ac:dyDescent="0.25">
      <c r="C23" s="2" t="s">
        <v>5</v>
      </c>
      <c r="D23" s="2"/>
      <c r="E23" s="3" t="s">
        <v>24</v>
      </c>
      <c r="F23" s="3"/>
    </row>
    <row r="24" spans="3:6" ht="18" x14ac:dyDescent="0.25">
      <c r="E24" s="3"/>
      <c r="F24" s="3"/>
    </row>
    <row r="25" spans="3:6" ht="18" x14ac:dyDescent="0.25">
      <c r="C25" s="2"/>
      <c r="D25" s="2"/>
      <c r="E25" s="4"/>
      <c r="F25" s="4"/>
    </row>
    <row r="26" spans="3:6" ht="18" x14ac:dyDescent="0.25">
      <c r="E26" s="3"/>
      <c r="F26" s="3"/>
    </row>
    <row r="27" spans="3:6" ht="18" x14ac:dyDescent="0.25">
      <c r="C27" s="2"/>
      <c r="E27" s="4"/>
      <c r="F27" s="4"/>
    </row>
    <row r="53" spans="2:8" ht="15.75" x14ac:dyDescent="0.25">
      <c r="B53" s="58" t="s">
        <v>6</v>
      </c>
      <c r="C53" s="59"/>
      <c r="D53" s="59"/>
      <c r="E53" s="59"/>
      <c r="F53" s="59"/>
      <c r="G53" s="60"/>
      <c r="H53" s="16" t="s">
        <v>7</v>
      </c>
    </row>
    <row r="54" spans="2:8" ht="15" x14ac:dyDescent="0.2">
      <c r="B54" s="14" t="s">
        <v>8</v>
      </c>
      <c r="C54" s="48" t="s">
        <v>25</v>
      </c>
      <c r="D54" s="49"/>
      <c r="E54" s="49"/>
      <c r="F54" s="49"/>
      <c r="G54" s="50"/>
      <c r="H54" s="39">
        <v>43675</v>
      </c>
    </row>
    <row r="55" spans="2:8" ht="15" x14ac:dyDescent="0.2">
      <c r="B55" s="14" t="s">
        <v>9</v>
      </c>
      <c r="C55" s="48" t="s">
        <v>26</v>
      </c>
      <c r="D55" s="49"/>
      <c r="E55" s="49"/>
      <c r="F55" s="49"/>
      <c r="G55" s="50"/>
      <c r="H55" s="39">
        <v>43675</v>
      </c>
    </row>
    <row r="56" spans="2:8" ht="15" x14ac:dyDescent="0.2">
      <c r="B56" s="14" t="s">
        <v>11</v>
      </c>
      <c r="C56" s="48" t="s">
        <v>27</v>
      </c>
      <c r="D56" s="49"/>
      <c r="E56" s="49"/>
      <c r="F56" s="49"/>
      <c r="G56" s="50"/>
      <c r="H56" s="39">
        <v>43675</v>
      </c>
    </row>
    <row r="57" spans="2:8" ht="15" x14ac:dyDescent="0.2">
      <c r="B57" s="14" t="s">
        <v>10</v>
      </c>
      <c r="C57" s="48" t="s">
        <v>27</v>
      </c>
      <c r="D57" s="49"/>
      <c r="E57" s="49"/>
      <c r="F57" s="49"/>
      <c r="G57" s="50"/>
      <c r="H57" s="39">
        <v>43675</v>
      </c>
    </row>
    <row r="58" spans="2:8" ht="15" x14ac:dyDescent="0.2">
      <c r="B58" s="11"/>
      <c r="C58" s="12"/>
      <c r="D58" s="12"/>
      <c r="E58" s="12"/>
      <c r="F58" s="12"/>
      <c r="G58" s="12"/>
      <c r="H58" s="13"/>
    </row>
  </sheetData>
  <sheetProtection selectLockedCells="1"/>
  <mergeCells count="9">
    <mergeCell ref="C55:G55"/>
    <mergeCell ref="C56:G56"/>
    <mergeCell ref="C57:G57"/>
    <mergeCell ref="B2:B6"/>
    <mergeCell ref="C2:D6"/>
    <mergeCell ref="E2:G6"/>
    <mergeCell ref="E17:F17"/>
    <mergeCell ref="B53:G53"/>
    <mergeCell ref="C54:G54"/>
  </mergeCells>
  <conditionalFormatting sqref="E19">
    <cfRule type="containsBlanks" dxfId="25" priority="2">
      <formula>LEN(TRIM(E19))=0</formula>
    </cfRule>
  </conditionalFormatting>
  <conditionalFormatting sqref="E17">
    <cfRule type="containsBlanks" dxfId="24" priority="1">
      <formula>LEN(TRIM(E17))=0</formula>
    </cfRule>
  </conditionalFormatting>
  <pageMargins left="0.75" right="0.75" top="1" bottom="1" header="0.5" footer="0.5"/>
  <pageSetup scale="70" orientation="portrait" horizontalDpi="4294967292" verticalDpi="4294967292" r:id="rId1"/>
  <headerFooter>
    <oddHeader>&amp;LZOCI - Cabin Interiors
5701 Bolsa Ave, Huntington Beach, CA 92647&amp;RRev. N/C&amp;C&amp;"Calibri"&amp;10&amp;KFF8C00C2 - Confidential&amp;1#_x000D_&amp;"Calibri"&amp;11&amp;K000000Report No: CF-</oddHeader>
    <oddFooter>&amp;CPage i</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SUPPORT!$D$2:$D$41</xm:f>
          </x14:formula1>
          <xm:sqref>E17:F17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2:J5"/>
  <sheetViews>
    <sheetView showGridLines="0" tabSelected="1" view="pageBreakPreview" zoomScale="85" zoomScaleNormal="100" zoomScaleSheetLayoutView="85" zoomScalePageLayoutView="85" workbookViewId="0">
      <selection activeCell="H5" sqref="H5"/>
    </sheetView>
  </sheetViews>
  <sheetFormatPr defaultColWidth="9" defaultRowHeight="14.25" x14ac:dyDescent="0.2"/>
  <cols>
    <col min="1" max="1" width="4.75" style="1" customWidth="1"/>
    <col min="2" max="2" width="6" style="5" customWidth="1"/>
    <col min="3" max="3" width="12.875" style="5" customWidth="1"/>
    <col min="4" max="6" width="13.75" style="5" customWidth="1"/>
    <col min="7" max="7" width="16" style="5" customWidth="1"/>
    <col min="8" max="8" width="17.5" style="1" customWidth="1"/>
    <col min="9" max="9" width="13.75" style="1" customWidth="1"/>
    <col min="10" max="10" width="4.625" style="1" customWidth="1"/>
    <col min="11" max="16384" width="9" style="1"/>
  </cols>
  <sheetData>
    <row r="2" spans="1:10" ht="18" x14ac:dyDescent="0.25">
      <c r="B2" s="61" t="s">
        <v>12</v>
      </c>
      <c r="C2" s="61"/>
      <c r="D2" s="61"/>
      <c r="E2" s="61"/>
      <c r="F2" s="61"/>
      <c r="G2" s="61"/>
      <c r="H2" s="61"/>
      <c r="I2" s="61"/>
      <c r="J2" s="15"/>
    </row>
    <row r="4" spans="1:10" ht="15" x14ac:dyDescent="0.25">
      <c r="A4" s="6"/>
      <c r="B4" s="33" t="s">
        <v>13</v>
      </c>
      <c r="C4" s="34" t="s">
        <v>14</v>
      </c>
      <c r="D4" s="34" t="s">
        <v>15</v>
      </c>
      <c r="E4" s="34" t="s">
        <v>16</v>
      </c>
      <c r="F4" s="34" t="s">
        <v>17</v>
      </c>
      <c r="G4" s="34" t="s">
        <v>61</v>
      </c>
      <c r="H4" s="34" t="s">
        <v>62</v>
      </c>
      <c r="J4" s="9"/>
    </row>
    <row r="5" spans="1:10" x14ac:dyDescent="0.2">
      <c r="B5" s="35" t="str">
        <f>VLOOKUP(SUPPORT!B2,SUPPORT!B:B,1,0)</f>
        <v>NC</v>
      </c>
      <c r="C5" s="40">
        <v>46009</v>
      </c>
      <c r="D5" s="36" t="s">
        <v>3241</v>
      </c>
      <c r="E5" s="36"/>
      <c r="F5" s="36"/>
      <c r="G5" s="36"/>
      <c r="H5" s="36"/>
      <c r="J5" s="5"/>
    </row>
  </sheetData>
  <mergeCells count="1">
    <mergeCell ref="B2:I2"/>
  </mergeCells>
  <pageMargins left="0.75" right="0.75" top="1" bottom="1" header="0.5" footer="0.5"/>
  <pageSetup scale="70" orientation="portrait" horizontalDpi="4294967292" verticalDpi="4294967292" r:id="rId1"/>
  <headerFooter>
    <oddHeader>&amp;LZOCI - Cabin Interiors
5701 Bolsa Ave, Huntington Beach, CA 92647&amp;RRev. N/C&amp;C&amp;"Calibri"&amp;10&amp;KFF8C00C2 - Confidential&amp;1#_x000D_&amp;"Calibri"&amp;11&amp;K000000Report No: CF-</oddHeader>
    <oddFooter>&amp;CPage ii</oddFooter>
  </headerFooter>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2:G5"/>
  <sheetViews>
    <sheetView showGridLines="0" view="pageBreakPreview" zoomScale="85" zoomScaleNormal="100" zoomScaleSheetLayoutView="85" zoomScalePageLayoutView="70" workbookViewId="0">
      <selection activeCell="B5" sqref="B5"/>
    </sheetView>
  </sheetViews>
  <sheetFormatPr defaultColWidth="9" defaultRowHeight="14.25" x14ac:dyDescent="0.2"/>
  <cols>
    <col min="1" max="1" width="4.75" style="1" customWidth="1"/>
    <col min="2" max="2" width="12.625" style="5" customWidth="1"/>
    <col min="3" max="7" width="16.125" style="5" customWidth="1"/>
    <col min="8" max="8" width="4.75" style="1" customWidth="1"/>
    <col min="9" max="16384" width="9" style="1"/>
  </cols>
  <sheetData>
    <row r="2" spans="1:7" ht="18" x14ac:dyDescent="0.25">
      <c r="B2" s="61" t="s">
        <v>19</v>
      </c>
      <c r="C2" s="61"/>
      <c r="D2" s="61"/>
      <c r="E2" s="61"/>
      <c r="F2" s="61"/>
      <c r="G2" s="61"/>
    </row>
    <row r="4" spans="1:7" ht="15" x14ac:dyDescent="0.25">
      <c r="A4" s="6"/>
      <c r="B4" s="7" t="s">
        <v>13</v>
      </c>
      <c r="C4" s="62" t="s">
        <v>20</v>
      </c>
      <c r="D4" s="62"/>
      <c r="E4" s="62"/>
      <c r="F4" s="62"/>
      <c r="G4" s="62"/>
    </row>
    <row r="5" spans="1:7" x14ac:dyDescent="0.2">
      <c r="B5" s="8" t="s">
        <v>18</v>
      </c>
      <c r="C5" s="63" t="s">
        <v>21</v>
      </c>
      <c r="D5" s="63"/>
      <c r="E5" s="63"/>
      <c r="F5" s="63"/>
      <c r="G5" s="63"/>
    </row>
  </sheetData>
  <mergeCells count="3">
    <mergeCell ref="B2:G2"/>
    <mergeCell ref="C4:G4"/>
    <mergeCell ref="C5:G5"/>
  </mergeCells>
  <pageMargins left="0.75" right="0.75" top="1" bottom="1" header="0.5" footer="0.5"/>
  <pageSetup scale="68" orientation="portrait" horizontalDpi="4294967292" verticalDpi="4294967292" r:id="rId1"/>
  <headerFooter>
    <oddHeader>&amp;LZOCI - Cabin Interiors
5701 Bolsa Ave, Huntington Beach, CA 92647&amp;RRev. N/C&amp;C&amp;"Calibri"&amp;10&amp;KFF8C00C2 - Confidential&amp;1#_x000D_&amp;"Calibri"&amp;11&amp;K000000Report No: CF-</oddHeader>
    <oddFooter>&amp;CPage iii</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G10"/>
  <sheetViews>
    <sheetView showGridLines="0" view="pageBreakPreview" zoomScale="85" zoomScaleNormal="100" zoomScaleSheetLayoutView="85" zoomScalePageLayoutView="70" workbookViewId="0">
      <selection activeCell="N29" sqref="N29"/>
    </sheetView>
  </sheetViews>
  <sheetFormatPr defaultColWidth="9" defaultRowHeight="14.25" x14ac:dyDescent="0.2"/>
  <cols>
    <col min="1" max="1" width="4.625" style="1" customWidth="1"/>
    <col min="2" max="7" width="17.625" style="5" customWidth="1"/>
    <col min="8" max="8" width="4.75" style="1" customWidth="1"/>
    <col min="9" max="16384" width="9" style="1"/>
  </cols>
  <sheetData>
    <row r="2" spans="1:7" ht="18" x14ac:dyDescent="0.25">
      <c r="B2" s="2"/>
      <c r="C2" s="2"/>
      <c r="D2" s="2"/>
      <c r="E2" s="2"/>
      <c r="F2" s="2"/>
      <c r="G2" s="2"/>
    </row>
    <row r="4" spans="1:7" ht="15" x14ac:dyDescent="0.25">
      <c r="A4" s="6"/>
      <c r="B4" s="9"/>
      <c r="C4" s="6"/>
      <c r="D4" s="6"/>
      <c r="E4" s="6"/>
      <c r="F4" s="6"/>
      <c r="G4" s="6"/>
    </row>
    <row r="5" spans="1:7" x14ac:dyDescent="0.2">
      <c r="C5" s="10"/>
      <c r="D5" s="10"/>
      <c r="E5" s="10"/>
      <c r="F5" s="10"/>
      <c r="G5" s="10"/>
    </row>
    <row r="6" spans="1:7" x14ac:dyDescent="0.2">
      <c r="C6" s="1"/>
      <c r="D6" s="1"/>
      <c r="E6" s="1"/>
      <c r="F6" s="1"/>
      <c r="G6" s="1"/>
    </row>
    <row r="7" spans="1:7" s="6" customFormat="1" ht="15" x14ac:dyDescent="0.25">
      <c r="A7" s="1"/>
      <c r="C7" s="1"/>
      <c r="D7" s="1"/>
      <c r="E7" s="1"/>
      <c r="F7" s="1"/>
      <c r="G7" s="1"/>
    </row>
    <row r="8" spans="1:7" x14ac:dyDescent="0.2">
      <c r="C8" s="1"/>
      <c r="D8" s="1"/>
      <c r="E8" s="1"/>
      <c r="F8" s="1"/>
      <c r="G8" s="1"/>
    </row>
    <row r="9" spans="1:7" x14ac:dyDescent="0.2">
      <c r="C9" s="1"/>
      <c r="D9" s="1"/>
      <c r="E9" s="1"/>
      <c r="F9" s="1"/>
      <c r="G9" s="1"/>
    </row>
    <row r="10" spans="1:7" x14ac:dyDescent="0.2">
      <c r="C10" s="1"/>
      <c r="D10" s="1"/>
      <c r="E10" s="1"/>
      <c r="F10" s="1"/>
      <c r="G10" s="1"/>
    </row>
  </sheetData>
  <pageMargins left="0.75" right="0.75" top="1" bottom="1" header="0.5" footer="0.5"/>
  <pageSetup scale="70" orientation="portrait" horizontalDpi="4294967292" verticalDpi="4294967292" r:id="rId1"/>
  <headerFooter>
    <oddHeader>&amp;LZOCI - Cabin Interiors
5701 Bolsa Ave, Huntington Beach, CA 92647&amp;RRev. N/C&amp;C&amp;"Calibri"&amp;10&amp;KFF8C00C2 - Confidential&amp;1#_x000D_&amp;"Calibri"&amp;11&amp;K000000Report No: CF-</oddHeader>
    <oddFooter>&amp;CPage iii</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FC143-2ECF-4FBD-B56B-0B29152E2FE7}">
  <dimension ref="B1:I1466"/>
  <sheetViews>
    <sheetView workbookViewId="0">
      <selection activeCell="C1" sqref="C1"/>
    </sheetView>
  </sheetViews>
  <sheetFormatPr defaultColWidth="8" defaultRowHeight="15.75" x14ac:dyDescent="0.25"/>
  <cols>
    <col min="1" max="1" width="1.625" style="22" customWidth="1"/>
    <col min="2" max="2" width="20.875" style="20" bestFit="1" customWidth="1"/>
    <col min="3" max="3" width="19.875" style="20" bestFit="1" customWidth="1"/>
    <col min="4" max="4" width="8.125" style="20" hidden="1" customWidth="1"/>
    <col min="5" max="5" width="36" style="20" bestFit="1" customWidth="1"/>
    <col min="6" max="6" width="9.625" style="26" bestFit="1" customWidth="1"/>
    <col min="7" max="7" width="9.875" style="45" bestFit="1" customWidth="1"/>
    <col min="8" max="8" width="12.25" style="20" bestFit="1" customWidth="1"/>
    <col min="9" max="9" width="80.625" style="21" bestFit="1" customWidth="1"/>
    <col min="10" max="16384" width="8" style="22"/>
  </cols>
  <sheetData>
    <row r="1" spans="2:9" ht="20.25" customHeight="1" x14ac:dyDescent="0.25">
      <c r="B1" s="23" t="s">
        <v>29</v>
      </c>
      <c r="C1" s="47" t="s">
        <v>329</v>
      </c>
      <c r="D1" s="21" t="s">
        <v>30</v>
      </c>
      <c r="E1" s="24" t="s">
        <v>172</v>
      </c>
      <c r="F1" s="25"/>
      <c r="G1" s="46"/>
      <c r="H1" s="21"/>
    </row>
    <row r="2" spans="2:9" x14ac:dyDescent="0.25">
      <c r="B2" s="27" t="s">
        <v>32</v>
      </c>
      <c r="C2" s="27" t="s">
        <v>33</v>
      </c>
      <c r="D2" s="27" t="s">
        <v>34</v>
      </c>
      <c r="E2" s="27" t="s">
        <v>35</v>
      </c>
      <c r="F2" s="28" t="s">
        <v>36</v>
      </c>
      <c r="G2" s="27" t="s">
        <v>37</v>
      </c>
      <c r="H2" s="27" t="s">
        <v>38</v>
      </c>
      <c r="I2" s="29" t="s">
        <v>39</v>
      </c>
    </row>
    <row r="3" spans="2:9" x14ac:dyDescent="0.25">
      <c r="B3" s="17">
        <v>1</v>
      </c>
      <c r="C3" s="17" t="s">
        <v>330</v>
      </c>
      <c r="D3" s="17" t="s">
        <v>30</v>
      </c>
      <c r="E3" s="18" t="s">
        <v>2046</v>
      </c>
      <c r="F3" s="19" t="s">
        <v>331</v>
      </c>
      <c r="G3" s="17" t="s">
        <v>332</v>
      </c>
      <c r="H3" s="17" t="s">
        <v>332</v>
      </c>
      <c r="I3" s="18" t="s">
        <v>333</v>
      </c>
    </row>
    <row r="4" spans="2:9" ht="78.75" x14ac:dyDescent="0.25">
      <c r="B4" s="17">
        <v>2</v>
      </c>
      <c r="C4" s="17" t="s">
        <v>334</v>
      </c>
      <c r="D4" s="17" t="s">
        <v>30</v>
      </c>
      <c r="E4" s="18" t="s">
        <v>2047</v>
      </c>
      <c r="F4" s="19" t="s">
        <v>335</v>
      </c>
      <c r="G4" s="19" t="s">
        <v>336</v>
      </c>
      <c r="H4" s="19" t="s">
        <v>337</v>
      </c>
      <c r="I4" s="18" t="s">
        <v>338</v>
      </c>
    </row>
    <row r="5" spans="2:9" hidden="1" x14ac:dyDescent="0.25">
      <c r="B5" s="17">
        <v>3</v>
      </c>
      <c r="C5" s="17" t="s">
        <v>339</v>
      </c>
      <c r="D5" s="17" t="s">
        <v>40</v>
      </c>
      <c r="E5" s="18" t="s">
        <v>2048</v>
      </c>
      <c r="F5" s="17"/>
      <c r="G5" s="17"/>
      <c r="H5" s="17"/>
      <c r="I5" s="18" t="s">
        <v>340</v>
      </c>
    </row>
    <row r="6" spans="2:9" hidden="1" x14ac:dyDescent="0.25">
      <c r="B6" s="17">
        <v>4</v>
      </c>
      <c r="C6" s="17" t="s">
        <v>341</v>
      </c>
      <c r="D6" s="17" t="s">
        <v>42</v>
      </c>
      <c r="E6" s="18" t="s">
        <v>2049</v>
      </c>
      <c r="F6" s="17"/>
      <c r="G6" s="17"/>
      <c r="H6" s="17"/>
      <c r="I6" s="18" t="s">
        <v>342</v>
      </c>
    </row>
    <row r="7" spans="2:9" hidden="1" x14ac:dyDescent="0.25">
      <c r="B7" s="17">
        <v>4</v>
      </c>
      <c r="C7" s="17" t="s">
        <v>343</v>
      </c>
      <c r="D7" s="17" t="s">
        <v>30</v>
      </c>
      <c r="E7" s="18" t="s">
        <v>2050</v>
      </c>
      <c r="F7" s="17"/>
      <c r="G7" s="17"/>
      <c r="H7" s="17"/>
      <c r="I7" s="18" t="s">
        <v>344</v>
      </c>
    </row>
    <row r="8" spans="2:9" hidden="1" x14ac:dyDescent="0.25">
      <c r="B8" s="17">
        <v>4</v>
      </c>
      <c r="C8" s="17" t="s">
        <v>345</v>
      </c>
      <c r="D8" s="17" t="s">
        <v>30</v>
      </c>
      <c r="E8" s="18" t="s">
        <v>2051</v>
      </c>
      <c r="F8" s="17"/>
      <c r="G8" s="17"/>
      <c r="H8" s="17"/>
      <c r="I8" s="18" t="s">
        <v>346</v>
      </c>
    </row>
    <row r="9" spans="2:9" hidden="1" x14ac:dyDescent="0.25">
      <c r="B9" s="17">
        <v>4</v>
      </c>
      <c r="C9" s="17" t="s">
        <v>347</v>
      </c>
      <c r="D9" s="17" t="s">
        <v>30</v>
      </c>
      <c r="E9" s="18" t="s">
        <v>2052</v>
      </c>
      <c r="F9" s="17"/>
      <c r="G9" s="17"/>
      <c r="H9" s="17"/>
      <c r="I9" s="18" t="s">
        <v>348</v>
      </c>
    </row>
    <row r="10" spans="2:9" hidden="1" x14ac:dyDescent="0.25">
      <c r="B10" s="17">
        <v>4</v>
      </c>
      <c r="C10" s="17" t="s">
        <v>349</v>
      </c>
      <c r="D10" s="17" t="s">
        <v>40</v>
      </c>
      <c r="E10" s="18" t="s">
        <v>2053</v>
      </c>
      <c r="F10" s="17"/>
      <c r="G10" s="17"/>
      <c r="H10" s="17"/>
      <c r="I10" s="18" t="s">
        <v>350</v>
      </c>
    </row>
    <row r="11" spans="2:9" hidden="1" x14ac:dyDescent="0.25">
      <c r="B11" s="17">
        <v>5</v>
      </c>
      <c r="C11" s="17" t="s">
        <v>351</v>
      </c>
      <c r="D11" s="17" t="s">
        <v>30</v>
      </c>
      <c r="E11" s="18" t="s">
        <v>2054</v>
      </c>
      <c r="F11" s="17"/>
      <c r="G11" s="17"/>
      <c r="H11" s="17"/>
      <c r="I11" s="18" t="s">
        <v>352</v>
      </c>
    </row>
    <row r="12" spans="2:9" hidden="1" x14ac:dyDescent="0.25">
      <c r="B12" s="17">
        <v>5</v>
      </c>
      <c r="C12" s="17" t="s">
        <v>353</v>
      </c>
      <c r="D12" s="17" t="s">
        <v>30</v>
      </c>
      <c r="E12" s="18" t="s">
        <v>2055</v>
      </c>
      <c r="F12" s="17"/>
      <c r="G12" s="17"/>
      <c r="H12" s="17"/>
      <c r="I12" s="18" t="s">
        <v>354</v>
      </c>
    </row>
    <row r="13" spans="2:9" hidden="1" x14ac:dyDescent="0.25">
      <c r="B13" s="17">
        <v>5</v>
      </c>
      <c r="C13" s="17" t="s">
        <v>355</v>
      </c>
      <c r="D13" s="17" t="s">
        <v>30</v>
      </c>
      <c r="E13" s="18" t="s">
        <v>2056</v>
      </c>
      <c r="F13" s="17"/>
      <c r="G13" s="17"/>
      <c r="H13" s="17"/>
      <c r="I13" s="18" t="s">
        <v>356</v>
      </c>
    </row>
    <row r="14" spans="2:9" hidden="1" x14ac:dyDescent="0.25">
      <c r="B14" s="17">
        <v>5</v>
      </c>
      <c r="C14" s="17" t="s">
        <v>357</v>
      </c>
      <c r="D14" s="17" t="s">
        <v>40</v>
      </c>
      <c r="E14" s="18" t="s">
        <v>2057</v>
      </c>
      <c r="F14" s="17"/>
      <c r="G14" s="17"/>
      <c r="H14" s="17"/>
      <c r="I14" s="18" t="s">
        <v>358</v>
      </c>
    </row>
    <row r="15" spans="2:9" hidden="1" x14ac:dyDescent="0.25">
      <c r="B15" s="17">
        <v>4</v>
      </c>
      <c r="C15" s="17" t="s">
        <v>359</v>
      </c>
      <c r="D15" s="17" t="s">
        <v>30</v>
      </c>
      <c r="E15" s="18" t="s">
        <v>2058</v>
      </c>
      <c r="F15" s="17"/>
      <c r="G15" s="17"/>
      <c r="H15" s="17"/>
      <c r="I15" s="18" t="s">
        <v>360</v>
      </c>
    </row>
    <row r="16" spans="2:9" hidden="1" x14ac:dyDescent="0.25">
      <c r="B16" s="17">
        <v>4</v>
      </c>
      <c r="C16" s="17" t="s">
        <v>361</v>
      </c>
      <c r="D16" s="17" t="s">
        <v>30</v>
      </c>
      <c r="E16" s="18" t="s">
        <v>2059</v>
      </c>
      <c r="F16" s="17"/>
      <c r="G16" s="17"/>
      <c r="H16" s="17"/>
      <c r="I16" s="18" t="s">
        <v>48</v>
      </c>
    </row>
    <row r="17" spans="2:9" hidden="1" x14ac:dyDescent="0.25">
      <c r="B17" s="17">
        <v>4</v>
      </c>
      <c r="C17" s="17" t="s">
        <v>362</v>
      </c>
      <c r="D17" s="17" t="s">
        <v>30</v>
      </c>
      <c r="E17" s="18" t="s">
        <v>2060</v>
      </c>
      <c r="F17" s="17"/>
      <c r="G17" s="17"/>
      <c r="H17" s="17"/>
      <c r="I17" s="18" t="s">
        <v>363</v>
      </c>
    </row>
    <row r="18" spans="2:9" hidden="1" x14ac:dyDescent="0.25">
      <c r="B18" s="17">
        <v>4</v>
      </c>
      <c r="C18" s="17" t="s">
        <v>364</v>
      </c>
      <c r="D18" s="17" t="s">
        <v>30</v>
      </c>
      <c r="E18" s="18" t="s">
        <v>2061</v>
      </c>
      <c r="F18" s="17"/>
      <c r="G18" s="17"/>
      <c r="H18" s="17"/>
      <c r="I18" s="18" t="s">
        <v>365</v>
      </c>
    </row>
    <row r="19" spans="2:9" hidden="1" x14ac:dyDescent="0.25">
      <c r="B19" s="17">
        <v>4</v>
      </c>
      <c r="C19" s="17" t="s">
        <v>366</v>
      </c>
      <c r="D19" s="17" t="s">
        <v>30</v>
      </c>
      <c r="E19" s="18" t="s">
        <v>2062</v>
      </c>
      <c r="F19" s="17"/>
      <c r="G19" s="17"/>
      <c r="H19" s="17"/>
      <c r="I19" s="18" t="s">
        <v>365</v>
      </c>
    </row>
    <row r="20" spans="2:9" hidden="1" x14ac:dyDescent="0.25">
      <c r="B20" s="17">
        <v>3</v>
      </c>
      <c r="C20" s="17" t="s">
        <v>367</v>
      </c>
      <c r="D20" s="17" t="s">
        <v>30</v>
      </c>
      <c r="E20" s="18" t="s">
        <v>2063</v>
      </c>
      <c r="F20" s="17"/>
      <c r="G20" s="17"/>
      <c r="H20" s="17"/>
      <c r="I20" s="18" t="s">
        <v>368</v>
      </c>
    </row>
    <row r="21" spans="2:9" hidden="1" x14ac:dyDescent="0.25">
      <c r="B21" s="17">
        <v>3</v>
      </c>
      <c r="C21" s="17" t="s">
        <v>369</v>
      </c>
      <c r="D21" s="17" t="s">
        <v>40</v>
      </c>
      <c r="E21" s="18" t="s">
        <v>2064</v>
      </c>
      <c r="F21" s="17"/>
      <c r="G21" s="17"/>
      <c r="H21" s="17"/>
      <c r="I21" s="18" t="s">
        <v>370</v>
      </c>
    </row>
    <row r="22" spans="2:9" hidden="1" x14ac:dyDescent="0.25">
      <c r="B22" s="17">
        <v>3</v>
      </c>
      <c r="C22" s="17" t="s">
        <v>371</v>
      </c>
      <c r="D22" s="17" t="s">
        <v>30</v>
      </c>
      <c r="E22" s="18" t="s">
        <v>2065</v>
      </c>
      <c r="F22" s="17"/>
      <c r="G22" s="17"/>
      <c r="H22" s="17"/>
      <c r="I22" s="18" t="s">
        <v>372</v>
      </c>
    </row>
    <row r="23" spans="2:9" hidden="1" x14ac:dyDescent="0.25">
      <c r="B23" s="17">
        <v>4</v>
      </c>
      <c r="C23" s="17" t="s">
        <v>373</v>
      </c>
      <c r="D23" s="17" t="s">
        <v>42</v>
      </c>
      <c r="E23" s="18" t="s">
        <v>2066</v>
      </c>
      <c r="F23" s="17"/>
      <c r="G23" s="17"/>
      <c r="H23" s="17"/>
      <c r="I23" s="18" t="s">
        <v>374</v>
      </c>
    </row>
    <row r="24" spans="2:9" hidden="1" x14ac:dyDescent="0.25">
      <c r="B24" s="17">
        <v>4</v>
      </c>
      <c r="C24" s="17" t="s">
        <v>375</v>
      </c>
      <c r="D24" s="17" t="s">
        <v>30</v>
      </c>
      <c r="E24" s="18" t="s">
        <v>2067</v>
      </c>
      <c r="F24" s="17"/>
      <c r="G24" s="17"/>
      <c r="H24" s="17"/>
      <c r="I24" s="18" t="s">
        <v>376</v>
      </c>
    </row>
    <row r="25" spans="2:9" x14ac:dyDescent="0.25">
      <c r="B25" s="17">
        <v>3</v>
      </c>
      <c r="C25" s="17" t="s">
        <v>377</v>
      </c>
      <c r="D25" s="17" t="s">
        <v>30</v>
      </c>
      <c r="E25" s="18" t="s">
        <v>2068</v>
      </c>
      <c r="F25" s="17" t="s">
        <v>31</v>
      </c>
      <c r="G25" s="17" t="s">
        <v>332</v>
      </c>
      <c r="H25" s="17" t="s">
        <v>332</v>
      </c>
      <c r="I25" s="18" t="s">
        <v>378</v>
      </c>
    </row>
    <row r="26" spans="2:9" hidden="1" x14ac:dyDescent="0.25">
      <c r="B26" s="17">
        <v>4</v>
      </c>
      <c r="C26" s="17" t="s">
        <v>379</v>
      </c>
      <c r="D26" s="17" t="s">
        <v>42</v>
      </c>
      <c r="E26" s="18" t="s">
        <v>2069</v>
      </c>
      <c r="F26" s="17"/>
      <c r="G26" s="17"/>
      <c r="H26" s="17"/>
      <c r="I26" s="18" t="s">
        <v>380</v>
      </c>
    </row>
    <row r="27" spans="2:9" hidden="1" x14ac:dyDescent="0.25">
      <c r="B27" s="17">
        <v>4</v>
      </c>
      <c r="C27" s="17" t="s">
        <v>381</v>
      </c>
      <c r="D27" s="17" t="s">
        <v>42</v>
      </c>
      <c r="E27" s="18" t="s">
        <v>2070</v>
      </c>
      <c r="F27" s="17"/>
      <c r="G27" s="17"/>
      <c r="H27" s="17"/>
      <c r="I27" s="18" t="s">
        <v>382</v>
      </c>
    </row>
    <row r="28" spans="2:9" hidden="1" x14ac:dyDescent="0.25">
      <c r="B28" s="17">
        <v>4</v>
      </c>
      <c r="C28" s="17" t="s">
        <v>383</v>
      </c>
      <c r="D28" s="17" t="s">
        <v>40</v>
      </c>
      <c r="E28" s="18" t="s">
        <v>2071</v>
      </c>
      <c r="F28" s="17"/>
      <c r="G28" s="17"/>
      <c r="H28" s="17"/>
      <c r="I28" s="18" t="s">
        <v>384</v>
      </c>
    </row>
    <row r="29" spans="2:9" hidden="1" x14ac:dyDescent="0.25">
      <c r="B29" s="17">
        <v>5</v>
      </c>
      <c r="C29" s="17" t="s">
        <v>385</v>
      </c>
      <c r="D29" s="17" t="s">
        <v>30</v>
      </c>
      <c r="E29" s="18" t="s">
        <v>2072</v>
      </c>
      <c r="F29" s="17"/>
      <c r="G29" s="17"/>
      <c r="H29" s="17"/>
      <c r="I29" s="18" t="s">
        <v>386</v>
      </c>
    </row>
    <row r="30" spans="2:9" hidden="1" x14ac:dyDescent="0.25">
      <c r="B30" s="17">
        <v>5</v>
      </c>
      <c r="C30" s="17" t="s">
        <v>387</v>
      </c>
      <c r="D30" s="17" t="s">
        <v>42</v>
      </c>
      <c r="E30" s="18" t="s">
        <v>2073</v>
      </c>
      <c r="F30" s="17"/>
      <c r="G30" s="17"/>
      <c r="H30" s="17"/>
      <c r="I30" s="18" t="s">
        <v>388</v>
      </c>
    </row>
    <row r="31" spans="2:9" hidden="1" x14ac:dyDescent="0.25">
      <c r="B31" s="17">
        <v>5</v>
      </c>
      <c r="C31" s="17" t="s">
        <v>389</v>
      </c>
      <c r="D31" s="17" t="s">
        <v>40</v>
      </c>
      <c r="E31" s="18" t="s">
        <v>2074</v>
      </c>
      <c r="F31" s="17"/>
      <c r="G31" s="17"/>
      <c r="H31" s="17"/>
      <c r="I31" s="18" t="s">
        <v>390</v>
      </c>
    </row>
    <row r="32" spans="2:9" hidden="1" x14ac:dyDescent="0.25">
      <c r="B32" s="17">
        <v>5</v>
      </c>
      <c r="C32" s="17" t="s">
        <v>391</v>
      </c>
      <c r="D32" s="17" t="s">
        <v>30</v>
      </c>
      <c r="E32" s="18" t="s">
        <v>2075</v>
      </c>
      <c r="F32" s="17"/>
      <c r="G32" s="17"/>
      <c r="H32" s="17"/>
      <c r="I32" s="18" t="s">
        <v>392</v>
      </c>
    </row>
    <row r="33" spans="2:9" x14ac:dyDescent="0.25">
      <c r="B33" s="17">
        <v>4</v>
      </c>
      <c r="C33" s="17" t="s">
        <v>393</v>
      </c>
      <c r="D33" s="17" t="s">
        <v>30</v>
      </c>
      <c r="E33" s="18" t="s">
        <v>2076</v>
      </c>
      <c r="F33" s="17" t="s">
        <v>394</v>
      </c>
      <c r="G33" s="17" t="s">
        <v>394</v>
      </c>
      <c r="H33" s="17" t="s">
        <v>46</v>
      </c>
      <c r="I33" s="18" t="s">
        <v>395</v>
      </c>
    </row>
    <row r="34" spans="2:9" hidden="1" x14ac:dyDescent="0.25">
      <c r="B34" s="17">
        <v>5</v>
      </c>
      <c r="C34" s="17" t="s">
        <v>396</v>
      </c>
      <c r="D34" s="17" t="s">
        <v>40</v>
      </c>
      <c r="E34" s="18" t="s">
        <v>2077</v>
      </c>
      <c r="F34" s="17"/>
      <c r="G34" s="17"/>
      <c r="H34" s="17"/>
      <c r="I34" s="18" t="s">
        <v>397</v>
      </c>
    </row>
    <row r="35" spans="2:9" hidden="1" x14ac:dyDescent="0.25">
      <c r="B35" s="17">
        <v>5</v>
      </c>
      <c r="C35" s="17" t="s">
        <v>398</v>
      </c>
      <c r="D35" s="17" t="s">
        <v>42</v>
      </c>
      <c r="E35" s="18" t="s">
        <v>2078</v>
      </c>
      <c r="F35" s="17"/>
      <c r="G35" s="17"/>
      <c r="H35" s="17"/>
      <c r="I35" s="18" t="s">
        <v>399</v>
      </c>
    </row>
    <row r="36" spans="2:9" hidden="1" x14ac:dyDescent="0.25">
      <c r="B36" s="17">
        <v>6</v>
      </c>
      <c r="C36" s="17" t="s">
        <v>400</v>
      </c>
      <c r="D36" s="17" t="s">
        <v>42</v>
      </c>
      <c r="E36" s="18" t="s">
        <v>2079</v>
      </c>
      <c r="F36" s="17"/>
      <c r="G36" s="17"/>
      <c r="H36" s="17"/>
      <c r="I36" s="18" t="s">
        <v>401</v>
      </c>
    </row>
    <row r="37" spans="2:9" hidden="1" x14ac:dyDescent="0.25">
      <c r="B37" s="17">
        <v>6</v>
      </c>
      <c r="C37" s="17" t="s">
        <v>402</v>
      </c>
      <c r="D37" s="17" t="s">
        <v>42</v>
      </c>
      <c r="E37" s="18" t="s">
        <v>2080</v>
      </c>
      <c r="F37" s="17"/>
      <c r="G37" s="17"/>
      <c r="H37" s="17"/>
      <c r="I37" s="18" t="s">
        <v>403</v>
      </c>
    </row>
    <row r="38" spans="2:9" hidden="1" x14ac:dyDescent="0.25">
      <c r="B38" s="17">
        <v>7</v>
      </c>
      <c r="C38" s="17" t="s">
        <v>404</v>
      </c>
      <c r="D38" s="17" t="s">
        <v>30</v>
      </c>
      <c r="E38" s="18" t="s">
        <v>2081</v>
      </c>
      <c r="F38" s="17"/>
      <c r="G38" s="17"/>
      <c r="H38" s="17"/>
      <c r="I38" s="18" t="s">
        <v>405</v>
      </c>
    </row>
    <row r="39" spans="2:9" hidden="1" x14ac:dyDescent="0.25">
      <c r="B39" s="17">
        <v>7</v>
      </c>
      <c r="C39" s="17" t="s">
        <v>406</v>
      </c>
      <c r="D39" s="17" t="s">
        <v>42</v>
      </c>
      <c r="E39" s="18" t="s">
        <v>2082</v>
      </c>
      <c r="F39" s="17"/>
      <c r="G39" s="17"/>
      <c r="H39" s="17"/>
      <c r="I39" s="18" t="s">
        <v>407</v>
      </c>
    </row>
    <row r="40" spans="2:9" hidden="1" x14ac:dyDescent="0.25">
      <c r="B40" s="17">
        <v>6</v>
      </c>
      <c r="C40" s="17" t="s">
        <v>408</v>
      </c>
      <c r="D40" s="17" t="s">
        <v>30</v>
      </c>
      <c r="E40" s="18" t="s">
        <v>2083</v>
      </c>
      <c r="F40" s="17"/>
      <c r="G40" s="17"/>
      <c r="H40" s="17"/>
      <c r="I40" s="18" t="s">
        <v>142</v>
      </c>
    </row>
    <row r="41" spans="2:9" hidden="1" x14ac:dyDescent="0.25">
      <c r="B41" s="17">
        <v>6</v>
      </c>
      <c r="C41" s="17" t="s">
        <v>409</v>
      </c>
      <c r="D41" s="17" t="s">
        <v>30</v>
      </c>
      <c r="E41" s="18" t="s">
        <v>2084</v>
      </c>
      <c r="F41" s="17"/>
      <c r="G41" s="17"/>
      <c r="H41" s="17"/>
      <c r="I41" s="18" t="s">
        <v>410</v>
      </c>
    </row>
    <row r="42" spans="2:9" hidden="1" x14ac:dyDescent="0.25">
      <c r="B42" s="17">
        <v>5</v>
      </c>
      <c r="C42" s="17" t="s">
        <v>411</v>
      </c>
      <c r="D42" s="17" t="s">
        <v>40</v>
      </c>
      <c r="E42" s="18" t="s">
        <v>2085</v>
      </c>
      <c r="F42" s="17"/>
      <c r="G42" s="17"/>
      <c r="H42" s="17"/>
      <c r="I42" s="18" t="s">
        <v>412</v>
      </c>
    </row>
    <row r="43" spans="2:9" hidden="1" x14ac:dyDescent="0.25">
      <c r="B43" s="17">
        <v>5</v>
      </c>
      <c r="C43" s="17" t="s">
        <v>413</v>
      </c>
      <c r="D43" s="17" t="s">
        <v>30</v>
      </c>
      <c r="E43" s="18" t="s">
        <v>2086</v>
      </c>
      <c r="F43" s="17"/>
      <c r="G43" s="17"/>
      <c r="H43" s="17"/>
      <c r="I43" s="18" t="s">
        <v>414</v>
      </c>
    </row>
    <row r="44" spans="2:9" hidden="1" x14ac:dyDescent="0.25">
      <c r="B44" s="17">
        <v>5</v>
      </c>
      <c r="C44" s="17" t="s">
        <v>383</v>
      </c>
      <c r="D44" s="17" t="s">
        <v>40</v>
      </c>
      <c r="E44" s="18" t="s">
        <v>2087</v>
      </c>
      <c r="F44" s="17"/>
      <c r="G44" s="17"/>
      <c r="H44" s="17"/>
      <c r="I44" s="18" t="s">
        <v>384</v>
      </c>
    </row>
    <row r="45" spans="2:9" hidden="1" x14ac:dyDescent="0.25">
      <c r="B45" s="17">
        <v>6</v>
      </c>
      <c r="C45" s="17" t="s">
        <v>385</v>
      </c>
      <c r="D45" s="17" t="s">
        <v>30</v>
      </c>
      <c r="E45" s="18" t="s">
        <v>2088</v>
      </c>
      <c r="F45" s="17"/>
      <c r="G45" s="17"/>
      <c r="H45" s="17"/>
      <c r="I45" s="18" t="s">
        <v>386</v>
      </c>
    </row>
    <row r="46" spans="2:9" hidden="1" x14ac:dyDescent="0.25">
      <c r="B46" s="17">
        <v>6</v>
      </c>
      <c r="C46" s="17" t="s">
        <v>387</v>
      </c>
      <c r="D46" s="17" t="s">
        <v>42</v>
      </c>
      <c r="E46" s="18" t="s">
        <v>2089</v>
      </c>
      <c r="F46" s="17"/>
      <c r="G46" s="17"/>
      <c r="H46" s="17"/>
      <c r="I46" s="18" t="s">
        <v>388</v>
      </c>
    </row>
    <row r="47" spans="2:9" hidden="1" x14ac:dyDescent="0.25">
      <c r="B47" s="17">
        <v>6</v>
      </c>
      <c r="C47" s="17" t="s">
        <v>389</v>
      </c>
      <c r="D47" s="17" t="s">
        <v>40</v>
      </c>
      <c r="E47" s="18" t="s">
        <v>2090</v>
      </c>
      <c r="F47" s="17"/>
      <c r="G47" s="17"/>
      <c r="H47" s="17"/>
      <c r="I47" s="18" t="s">
        <v>390</v>
      </c>
    </row>
    <row r="48" spans="2:9" hidden="1" x14ac:dyDescent="0.25">
      <c r="B48" s="17">
        <v>6</v>
      </c>
      <c r="C48" s="17" t="s">
        <v>391</v>
      </c>
      <c r="D48" s="17" t="s">
        <v>30</v>
      </c>
      <c r="E48" s="18" t="s">
        <v>2091</v>
      </c>
      <c r="F48" s="17"/>
      <c r="G48" s="17"/>
      <c r="H48" s="17"/>
      <c r="I48" s="18" t="s">
        <v>392</v>
      </c>
    </row>
    <row r="49" spans="2:9" hidden="1" x14ac:dyDescent="0.25">
      <c r="B49" s="17">
        <v>5</v>
      </c>
      <c r="C49" s="17" t="s">
        <v>415</v>
      </c>
      <c r="D49" s="17" t="s">
        <v>30</v>
      </c>
      <c r="E49" s="18" t="s">
        <v>2092</v>
      </c>
      <c r="F49" s="17"/>
      <c r="G49" s="17"/>
      <c r="H49" s="17"/>
      <c r="I49" s="18" t="s">
        <v>416</v>
      </c>
    </row>
    <row r="50" spans="2:9" hidden="1" x14ac:dyDescent="0.25">
      <c r="B50" s="17">
        <v>6</v>
      </c>
      <c r="C50" s="17" t="s">
        <v>124</v>
      </c>
      <c r="D50" s="17" t="s">
        <v>49</v>
      </c>
      <c r="E50" s="18" t="s">
        <v>2093</v>
      </c>
      <c r="F50" s="17"/>
      <c r="G50" s="17"/>
      <c r="H50" s="17"/>
      <c r="I50" s="18" t="s">
        <v>125</v>
      </c>
    </row>
    <row r="51" spans="2:9" hidden="1" x14ac:dyDescent="0.25">
      <c r="B51" s="17">
        <v>6</v>
      </c>
      <c r="C51" s="17" t="s">
        <v>417</v>
      </c>
      <c r="D51" s="17" t="s">
        <v>49</v>
      </c>
      <c r="E51" s="18" t="s">
        <v>2094</v>
      </c>
      <c r="F51" s="17"/>
      <c r="G51" s="17"/>
      <c r="H51" s="17"/>
      <c r="I51" s="18" t="s">
        <v>125</v>
      </c>
    </row>
    <row r="52" spans="2:9" hidden="1" x14ac:dyDescent="0.25">
      <c r="B52" s="17">
        <v>6</v>
      </c>
      <c r="C52" s="17" t="s">
        <v>418</v>
      </c>
      <c r="D52" s="17" t="s">
        <v>30</v>
      </c>
      <c r="E52" s="18" t="s">
        <v>2095</v>
      </c>
      <c r="F52" s="17"/>
      <c r="G52" s="17"/>
      <c r="H52" s="17"/>
      <c r="I52" s="18" t="s">
        <v>419</v>
      </c>
    </row>
    <row r="53" spans="2:9" hidden="1" x14ac:dyDescent="0.25">
      <c r="B53" s="17">
        <v>5</v>
      </c>
      <c r="C53" s="17" t="s">
        <v>420</v>
      </c>
      <c r="D53" s="17" t="s">
        <v>43</v>
      </c>
      <c r="E53" s="18" t="s">
        <v>2096</v>
      </c>
      <c r="F53" s="17"/>
      <c r="G53" s="17"/>
      <c r="H53" s="17"/>
      <c r="I53" s="18" t="s">
        <v>421</v>
      </c>
    </row>
    <row r="54" spans="2:9" hidden="1" x14ac:dyDescent="0.25">
      <c r="B54" s="17">
        <v>5</v>
      </c>
      <c r="C54" s="17" t="s">
        <v>422</v>
      </c>
      <c r="D54" s="17" t="s">
        <v>42</v>
      </c>
      <c r="E54" s="18" t="s">
        <v>2097</v>
      </c>
      <c r="F54" s="17"/>
      <c r="G54" s="17"/>
      <c r="H54" s="17"/>
      <c r="I54" s="18" t="s">
        <v>423</v>
      </c>
    </row>
    <row r="55" spans="2:9" hidden="1" x14ac:dyDescent="0.25">
      <c r="B55" s="17">
        <v>5</v>
      </c>
      <c r="C55" s="17" t="s">
        <v>424</v>
      </c>
      <c r="D55" s="17" t="s">
        <v>30</v>
      </c>
      <c r="E55" s="18" t="s">
        <v>2098</v>
      </c>
      <c r="F55" s="17"/>
      <c r="G55" s="17"/>
      <c r="H55" s="17"/>
      <c r="I55" s="18" t="s">
        <v>425</v>
      </c>
    </row>
    <row r="56" spans="2:9" hidden="1" x14ac:dyDescent="0.25">
      <c r="B56" s="17">
        <v>5</v>
      </c>
      <c r="C56" s="17" t="s">
        <v>426</v>
      </c>
      <c r="D56" s="17" t="s">
        <v>40</v>
      </c>
      <c r="E56" s="18" t="s">
        <v>2099</v>
      </c>
      <c r="F56" s="17"/>
      <c r="G56" s="17"/>
      <c r="H56" s="17"/>
      <c r="I56" s="18" t="s">
        <v>427</v>
      </c>
    </row>
    <row r="57" spans="2:9" hidden="1" x14ac:dyDescent="0.25">
      <c r="B57" s="17">
        <v>5</v>
      </c>
      <c r="C57" s="17" t="s">
        <v>428</v>
      </c>
      <c r="D57" s="17" t="s">
        <v>30</v>
      </c>
      <c r="E57" s="18" t="s">
        <v>2100</v>
      </c>
      <c r="F57" s="17"/>
      <c r="G57" s="17"/>
      <c r="H57" s="17"/>
      <c r="I57" s="18" t="s">
        <v>106</v>
      </c>
    </row>
    <row r="58" spans="2:9" hidden="1" x14ac:dyDescent="0.25">
      <c r="B58" s="17">
        <v>5</v>
      </c>
      <c r="C58" s="17" t="s">
        <v>107</v>
      </c>
      <c r="D58" s="17" t="s">
        <v>40</v>
      </c>
      <c r="E58" s="18" t="s">
        <v>2101</v>
      </c>
      <c r="F58" s="17"/>
      <c r="G58" s="17"/>
      <c r="H58" s="17"/>
      <c r="I58" s="18" t="s">
        <v>108</v>
      </c>
    </row>
    <row r="59" spans="2:9" hidden="1" x14ac:dyDescent="0.25">
      <c r="B59" s="17">
        <v>5</v>
      </c>
      <c r="C59" s="17" t="s">
        <v>55</v>
      </c>
      <c r="D59" s="17" t="s">
        <v>40</v>
      </c>
      <c r="E59" s="18" t="s">
        <v>2102</v>
      </c>
      <c r="F59" s="17"/>
      <c r="G59" s="17"/>
      <c r="H59" s="17"/>
      <c r="I59" s="18" t="s">
        <v>56</v>
      </c>
    </row>
    <row r="60" spans="2:9" hidden="1" x14ac:dyDescent="0.25">
      <c r="B60" s="17">
        <v>5</v>
      </c>
      <c r="C60" s="17" t="s">
        <v>429</v>
      </c>
      <c r="D60" s="17" t="s">
        <v>30</v>
      </c>
      <c r="E60" s="18" t="s">
        <v>2103</v>
      </c>
      <c r="F60" s="17"/>
      <c r="G60" s="17"/>
      <c r="H60" s="17"/>
      <c r="I60" s="18" t="s">
        <v>430</v>
      </c>
    </row>
    <row r="61" spans="2:9" hidden="1" x14ac:dyDescent="0.25">
      <c r="B61" s="17">
        <v>5</v>
      </c>
      <c r="C61" s="17" t="s">
        <v>59</v>
      </c>
      <c r="D61" s="17" t="s">
        <v>42</v>
      </c>
      <c r="E61" s="18" t="s">
        <v>2104</v>
      </c>
      <c r="F61" s="17"/>
      <c r="G61" s="17"/>
      <c r="H61" s="17"/>
      <c r="I61" s="18" t="s">
        <v>431</v>
      </c>
    </row>
    <row r="62" spans="2:9" hidden="1" x14ac:dyDescent="0.25">
      <c r="B62" s="17">
        <v>4</v>
      </c>
      <c r="C62" s="17" t="s">
        <v>426</v>
      </c>
      <c r="D62" s="17" t="s">
        <v>40</v>
      </c>
      <c r="E62" s="18" t="s">
        <v>2105</v>
      </c>
      <c r="F62" s="17"/>
      <c r="G62" s="17"/>
      <c r="H62" s="17"/>
      <c r="I62" s="18" t="s">
        <v>427</v>
      </c>
    </row>
    <row r="63" spans="2:9" hidden="1" x14ac:dyDescent="0.25">
      <c r="B63" s="17">
        <v>4</v>
      </c>
      <c r="C63" s="17" t="s">
        <v>432</v>
      </c>
      <c r="D63" s="17" t="s">
        <v>30</v>
      </c>
      <c r="E63" s="18" t="s">
        <v>2106</v>
      </c>
      <c r="F63" s="17"/>
      <c r="G63" s="17"/>
      <c r="H63" s="17"/>
      <c r="I63" s="18" t="s">
        <v>433</v>
      </c>
    </row>
    <row r="64" spans="2:9" hidden="1" x14ac:dyDescent="0.25">
      <c r="B64" s="17">
        <v>4</v>
      </c>
      <c r="C64" s="17" t="s">
        <v>428</v>
      </c>
      <c r="D64" s="17" t="s">
        <v>30</v>
      </c>
      <c r="E64" s="18" t="s">
        <v>2107</v>
      </c>
      <c r="F64" s="17"/>
      <c r="G64" s="17"/>
      <c r="H64" s="17"/>
      <c r="I64" s="18" t="s">
        <v>106</v>
      </c>
    </row>
    <row r="65" spans="2:9" hidden="1" x14ac:dyDescent="0.25">
      <c r="B65" s="17">
        <v>4</v>
      </c>
      <c r="C65" s="17" t="s">
        <v>107</v>
      </c>
      <c r="D65" s="17" t="s">
        <v>40</v>
      </c>
      <c r="E65" s="18" t="s">
        <v>2108</v>
      </c>
      <c r="F65" s="17"/>
      <c r="G65" s="17"/>
      <c r="H65" s="17"/>
      <c r="I65" s="18" t="s">
        <v>108</v>
      </c>
    </row>
    <row r="66" spans="2:9" hidden="1" x14ac:dyDescent="0.25">
      <c r="B66" s="17">
        <v>4</v>
      </c>
      <c r="C66" s="17" t="s">
        <v>55</v>
      </c>
      <c r="D66" s="17" t="s">
        <v>40</v>
      </c>
      <c r="E66" s="18" t="s">
        <v>2109</v>
      </c>
      <c r="F66" s="17"/>
      <c r="G66" s="17"/>
      <c r="H66" s="17"/>
      <c r="I66" s="18" t="s">
        <v>56</v>
      </c>
    </row>
    <row r="67" spans="2:9" hidden="1" x14ac:dyDescent="0.25">
      <c r="B67" s="17">
        <v>3</v>
      </c>
      <c r="C67" s="17" t="s">
        <v>434</v>
      </c>
      <c r="D67" s="17" t="s">
        <v>30</v>
      </c>
      <c r="E67" s="18" t="s">
        <v>2110</v>
      </c>
      <c r="F67" s="17"/>
      <c r="G67" s="17"/>
      <c r="H67" s="17"/>
      <c r="I67" s="18" t="s">
        <v>435</v>
      </c>
    </row>
    <row r="68" spans="2:9" hidden="1" x14ac:dyDescent="0.25">
      <c r="B68" s="17">
        <v>4</v>
      </c>
      <c r="C68" s="17" t="s">
        <v>436</v>
      </c>
      <c r="D68" s="17" t="s">
        <v>30</v>
      </c>
      <c r="E68" s="18" t="s">
        <v>2111</v>
      </c>
      <c r="F68" s="17"/>
      <c r="G68" s="17"/>
      <c r="H68" s="17"/>
      <c r="I68" s="18" t="s">
        <v>437</v>
      </c>
    </row>
    <row r="69" spans="2:9" hidden="1" x14ac:dyDescent="0.25">
      <c r="B69" s="17">
        <v>4</v>
      </c>
      <c r="C69" s="17" t="s">
        <v>438</v>
      </c>
      <c r="D69" s="17" t="s">
        <v>42</v>
      </c>
      <c r="E69" s="18" t="s">
        <v>2112</v>
      </c>
      <c r="F69" s="17"/>
      <c r="G69" s="17"/>
      <c r="H69" s="17"/>
      <c r="I69" s="18" t="s">
        <v>439</v>
      </c>
    </row>
    <row r="70" spans="2:9" hidden="1" x14ac:dyDescent="0.25">
      <c r="B70" s="17">
        <v>5</v>
      </c>
      <c r="C70" s="17" t="s">
        <v>440</v>
      </c>
      <c r="D70" s="17" t="s">
        <v>40</v>
      </c>
      <c r="E70" s="18" t="s">
        <v>2113</v>
      </c>
      <c r="F70" s="17"/>
      <c r="G70" s="17"/>
      <c r="H70" s="17"/>
      <c r="I70" s="18" t="s">
        <v>441</v>
      </c>
    </row>
    <row r="71" spans="2:9" hidden="1" x14ac:dyDescent="0.25">
      <c r="B71" s="17">
        <v>5</v>
      </c>
      <c r="C71" s="17" t="s">
        <v>124</v>
      </c>
      <c r="D71" s="17" t="s">
        <v>49</v>
      </c>
      <c r="E71" s="18" t="s">
        <v>2114</v>
      </c>
      <c r="F71" s="17"/>
      <c r="G71" s="17"/>
      <c r="H71" s="17"/>
      <c r="I71" s="18" t="s">
        <v>125</v>
      </c>
    </row>
    <row r="72" spans="2:9" hidden="1" x14ac:dyDescent="0.25">
      <c r="B72" s="17">
        <v>5</v>
      </c>
      <c r="C72" s="17" t="s">
        <v>442</v>
      </c>
      <c r="D72" s="17" t="s">
        <v>42</v>
      </c>
      <c r="E72" s="18" t="s">
        <v>2115</v>
      </c>
      <c r="F72" s="17"/>
      <c r="G72" s="17"/>
      <c r="H72" s="17"/>
      <c r="I72" s="18" t="s">
        <v>443</v>
      </c>
    </row>
    <row r="73" spans="2:9" hidden="1" x14ac:dyDescent="0.25">
      <c r="B73" s="17">
        <v>4</v>
      </c>
      <c r="C73" s="17" t="s">
        <v>444</v>
      </c>
      <c r="D73" s="17" t="s">
        <v>30</v>
      </c>
      <c r="E73" s="18" t="s">
        <v>2116</v>
      </c>
      <c r="F73" s="17"/>
      <c r="G73" s="17"/>
      <c r="H73" s="17"/>
      <c r="I73" s="18" t="s">
        <v>445</v>
      </c>
    </row>
    <row r="74" spans="2:9" hidden="1" x14ac:dyDescent="0.25">
      <c r="B74" s="17">
        <v>5</v>
      </c>
      <c r="C74" s="17" t="s">
        <v>124</v>
      </c>
      <c r="D74" s="17" t="s">
        <v>49</v>
      </c>
      <c r="E74" s="18" t="s">
        <v>2114</v>
      </c>
      <c r="F74" s="17"/>
      <c r="G74" s="17"/>
      <c r="H74" s="17"/>
      <c r="I74" s="18" t="s">
        <v>125</v>
      </c>
    </row>
    <row r="75" spans="2:9" hidden="1" x14ac:dyDescent="0.25">
      <c r="B75" s="17">
        <v>5</v>
      </c>
      <c r="C75" s="17" t="s">
        <v>446</v>
      </c>
      <c r="D75" s="17" t="s">
        <v>30</v>
      </c>
      <c r="E75" s="18" t="s">
        <v>2117</v>
      </c>
      <c r="F75" s="17"/>
      <c r="G75" s="17"/>
      <c r="H75" s="17"/>
      <c r="I75" s="18" t="s">
        <v>447</v>
      </c>
    </row>
    <row r="76" spans="2:9" hidden="1" x14ac:dyDescent="0.25">
      <c r="B76" s="17">
        <v>4</v>
      </c>
      <c r="C76" s="17" t="s">
        <v>448</v>
      </c>
      <c r="D76" s="17" t="s">
        <v>30</v>
      </c>
      <c r="E76" s="18" t="s">
        <v>2118</v>
      </c>
      <c r="F76" s="17"/>
      <c r="G76" s="17"/>
      <c r="H76" s="17"/>
      <c r="I76" s="18" t="s">
        <v>449</v>
      </c>
    </row>
    <row r="77" spans="2:9" hidden="1" x14ac:dyDescent="0.25">
      <c r="B77" s="17">
        <v>4</v>
      </c>
      <c r="C77" s="17" t="s">
        <v>450</v>
      </c>
      <c r="D77" s="17" t="s">
        <v>30</v>
      </c>
      <c r="E77" s="18" t="s">
        <v>2119</v>
      </c>
      <c r="F77" s="17"/>
      <c r="G77" s="17"/>
      <c r="H77" s="17"/>
      <c r="I77" s="18" t="s">
        <v>449</v>
      </c>
    </row>
    <row r="78" spans="2:9" hidden="1" x14ac:dyDescent="0.25">
      <c r="B78" s="17">
        <v>4</v>
      </c>
      <c r="C78" s="17" t="s">
        <v>451</v>
      </c>
      <c r="D78" s="17" t="s">
        <v>30</v>
      </c>
      <c r="E78" s="18" t="s">
        <v>2120</v>
      </c>
      <c r="F78" s="17"/>
      <c r="G78" s="17"/>
      <c r="H78" s="17"/>
      <c r="I78" s="18" t="s">
        <v>449</v>
      </c>
    </row>
    <row r="79" spans="2:9" hidden="1" x14ac:dyDescent="0.25">
      <c r="B79" s="17">
        <v>4</v>
      </c>
      <c r="C79" s="17" t="s">
        <v>452</v>
      </c>
      <c r="D79" s="17" t="s">
        <v>30</v>
      </c>
      <c r="E79" s="18" t="s">
        <v>2121</v>
      </c>
      <c r="F79" s="17"/>
      <c r="G79" s="17"/>
      <c r="H79" s="17"/>
      <c r="I79" s="18" t="s">
        <v>449</v>
      </c>
    </row>
    <row r="80" spans="2:9" hidden="1" x14ac:dyDescent="0.25">
      <c r="B80" s="17">
        <v>4</v>
      </c>
      <c r="C80" s="17" t="s">
        <v>453</v>
      </c>
      <c r="D80" s="17" t="s">
        <v>40</v>
      </c>
      <c r="E80" s="18" t="s">
        <v>2122</v>
      </c>
      <c r="F80" s="17"/>
      <c r="G80" s="17"/>
      <c r="H80" s="17"/>
      <c r="I80" s="18" t="s">
        <v>454</v>
      </c>
    </row>
    <row r="81" spans="2:9" hidden="1" x14ac:dyDescent="0.25">
      <c r="B81" s="17">
        <v>5</v>
      </c>
      <c r="C81" s="17" t="s">
        <v>455</v>
      </c>
      <c r="D81" s="17" t="s">
        <v>30</v>
      </c>
      <c r="E81" s="18" t="s">
        <v>2123</v>
      </c>
      <c r="F81" s="17"/>
      <c r="G81" s="17"/>
      <c r="H81" s="17"/>
      <c r="I81" s="18" t="s">
        <v>441</v>
      </c>
    </row>
    <row r="82" spans="2:9" hidden="1" x14ac:dyDescent="0.25">
      <c r="B82" s="17">
        <v>5</v>
      </c>
      <c r="C82" s="17" t="s">
        <v>417</v>
      </c>
      <c r="D82" s="17" t="s">
        <v>49</v>
      </c>
      <c r="E82" s="18" t="s">
        <v>2124</v>
      </c>
      <c r="F82" s="17"/>
      <c r="G82" s="17"/>
      <c r="H82" s="17"/>
      <c r="I82" s="18" t="s">
        <v>125</v>
      </c>
    </row>
    <row r="83" spans="2:9" hidden="1" x14ac:dyDescent="0.25">
      <c r="B83" s="17">
        <v>5</v>
      </c>
      <c r="C83" s="17" t="s">
        <v>456</v>
      </c>
      <c r="D83" s="17" t="s">
        <v>30</v>
      </c>
      <c r="E83" s="18" t="s">
        <v>2125</v>
      </c>
      <c r="F83" s="17"/>
      <c r="G83" s="17"/>
      <c r="H83" s="17"/>
      <c r="I83" s="18" t="s">
        <v>457</v>
      </c>
    </row>
    <row r="84" spans="2:9" hidden="1" x14ac:dyDescent="0.25">
      <c r="B84" s="17">
        <v>4</v>
      </c>
      <c r="C84" s="17" t="s">
        <v>147</v>
      </c>
      <c r="D84" s="17" t="s">
        <v>43</v>
      </c>
      <c r="E84" s="18" t="s">
        <v>2126</v>
      </c>
      <c r="F84" s="17"/>
      <c r="G84" s="17"/>
      <c r="H84" s="17"/>
      <c r="I84" s="18" t="s">
        <v>148</v>
      </c>
    </row>
    <row r="85" spans="2:9" hidden="1" x14ac:dyDescent="0.25">
      <c r="B85" s="17">
        <v>5</v>
      </c>
      <c r="C85" s="17" t="s">
        <v>149</v>
      </c>
      <c r="D85" s="17" t="s">
        <v>174</v>
      </c>
      <c r="E85" s="18" t="s">
        <v>2127</v>
      </c>
      <c r="F85" s="17"/>
      <c r="G85" s="17"/>
      <c r="H85" s="17"/>
      <c r="I85" s="18" t="s">
        <v>150</v>
      </c>
    </row>
    <row r="86" spans="2:9" hidden="1" x14ac:dyDescent="0.25">
      <c r="B86" s="17">
        <v>5</v>
      </c>
      <c r="C86" s="17" t="s">
        <v>151</v>
      </c>
      <c r="D86" s="17" t="s">
        <v>174</v>
      </c>
      <c r="E86" s="18" t="s">
        <v>2128</v>
      </c>
      <c r="F86" s="17"/>
      <c r="G86" s="17"/>
      <c r="H86" s="17"/>
      <c r="I86" s="18" t="s">
        <v>152</v>
      </c>
    </row>
    <row r="87" spans="2:9" hidden="1" x14ac:dyDescent="0.25">
      <c r="B87" s="17">
        <v>4</v>
      </c>
      <c r="C87" s="17" t="s">
        <v>458</v>
      </c>
      <c r="D87" s="17" t="s">
        <v>30</v>
      </c>
      <c r="E87" s="18" t="s">
        <v>2129</v>
      </c>
      <c r="F87" s="17"/>
      <c r="G87" s="17"/>
      <c r="H87" s="17"/>
      <c r="I87" s="18" t="s">
        <v>433</v>
      </c>
    </row>
    <row r="88" spans="2:9" hidden="1" x14ac:dyDescent="0.25">
      <c r="B88" s="17">
        <v>4</v>
      </c>
      <c r="C88" s="17" t="s">
        <v>55</v>
      </c>
      <c r="D88" s="17" t="s">
        <v>40</v>
      </c>
      <c r="E88" s="18" t="s">
        <v>2109</v>
      </c>
      <c r="F88" s="17"/>
      <c r="G88" s="17"/>
      <c r="H88" s="17"/>
      <c r="I88" s="18" t="s">
        <v>56</v>
      </c>
    </row>
    <row r="89" spans="2:9" hidden="1" x14ac:dyDescent="0.25">
      <c r="B89" s="17">
        <v>4</v>
      </c>
      <c r="C89" s="17" t="s">
        <v>459</v>
      </c>
      <c r="D89" s="17" t="s">
        <v>30</v>
      </c>
      <c r="E89" s="18" t="s">
        <v>2130</v>
      </c>
      <c r="F89" s="17"/>
      <c r="G89" s="17"/>
      <c r="H89" s="17"/>
      <c r="I89" s="18" t="s">
        <v>460</v>
      </c>
    </row>
    <row r="90" spans="2:9" hidden="1" x14ac:dyDescent="0.25">
      <c r="B90" s="17">
        <v>4</v>
      </c>
      <c r="C90" s="17" t="s">
        <v>461</v>
      </c>
      <c r="D90" s="17" t="s">
        <v>30</v>
      </c>
      <c r="E90" s="18" t="s">
        <v>2131</v>
      </c>
      <c r="F90" s="17"/>
      <c r="G90" s="17"/>
      <c r="H90" s="17"/>
      <c r="I90" s="18" t="s">
        <v>138</v>
      </c>
    </row>
    <row r="91" spans="2:9" hidden="1" x14ac:dyDescent="0.25">
      <c r="B91" s="17">
        <v>4</v>
      </c>
      <c r="C91" s="17" t="s">
        <v>462</v>
      </c>
      <c r="D91" s="17" t="s">
        <v>30</v>
      </c>
      <c r="E91" s="18" t="s">
        <v>2132</v>
      </c>
      <c r="F91" s="17"/>
      <c r="G91" s="17"/>
      <c r="H91" s="17"/>
      <c r="I91" s="18" t="s">
        <v>138</v>
      </c>
    </row>
    <row r="92" spans="2:9" hidden="1" x14ac:dyDescent="0.25">
      <c r="B92" s="17">
        <v>4</v>
      </c>
      <c r="C92" s="17" t="s">
        <v>463</v>
      </c>
      <c r="D92" s="17" t="s">
        <v>30</v>
      </c>
      <c r="E92" s="18" t="s">
        <v>2133</v>
      </c>
      <c r="F92" s="17"/>
      <c r="G92" s="17"/>
      <c r="H92" s="17"/>
      <c r="I92" s="18" t="s">
        <v>464</v>
      </c>
    </row>
    <row r="93" spans="2:9" x14ac:dyDescent="0.25">
      <c r="B93" s="17">
        <v>3</v>
      </c>
      <c r="C93" s="17" t="s">
        <v>465</v>
      </c>
      <c r="D93" s="17" t="s">
        <v>30</v>
      </c>
      <c r="E93" s="18" t="s">
        <v>2134</v>
      </c>
      <c r="F93" s="17" t="s">
        <v>31</v>
      </c>
      <c r="G93" s="17" t="s">
        <v>332</v>
      </c>
      <c r="H93" s="17" t="s">
        <v>332</v>
      </c>
      <c r="I93" s="18" t="s">
        <v>466</v>
      </c>
    </row>
    <row r="94" spans="2:9" hidden="1" x14ac:dyDescent="0.25">
      <c r="B94" s="17">
        <v>4</v>
      </c>
      <c r="C94" s="17" t="s">
        <v>467</v>
      </c>
      <c r="D94" s="17" t="s">
        <v>43</v>
      </c>
      <c r="E94" s="18" t="s">
        <v>2135</v>
      </c>
      <c r="F94" s="17"/>
      <c r="G94" s="17"/>
      <c r="H94" s="17"/>
      <c r="I94" s="18" t="s">
        <v>468</v>
      </c>
    </row>
    <row r="95" spans="2:9" hidden="1" x14ac:dyDescent="0.25">
      <c r="B95" s="17">
        <v>5</v>
      </c>
      <c r="C95" s="17" t="s">
        <v>469</v>
      </c>
      <c r="D95" s="17" t="s">
        <v>43</v>
      </c>
      <c r="E95" s="18" t="s">
        <v>2136</v>
      </c>
      <c r="F95" s="17"/>
      <c r="G95" s="17"/>
      <c r="H95" s="17"/>
      <c r="I95" s="18" t="s">
        <v>470</v>
      </c>
    </row>
    <row r="96" spans="2:9" hidden="1" x14ac:dyDescent="0.25">
      <c r="B96" s="17">
        <v>5</v>
      </c>
      <c r="C96" s="17" t="s">
        <v>118</v>
      </c>
      <c r="D96" s="17" t="s">
        <v>30</v>
      </c>
      <c r="E96" s="18" t="s">
        <v>2137</v>
      </c>
      <c r="F96" s="17"/>
      <c r="G96" s="17"/>
      <c r="H96" s="17"/>
      <c r="I96" s="18" t="s">
        <v>119</v>
      </c>
    </row>
    <row r="97" spans="2:9" hidden="1" x14ac:dyDescent="0.25">
      <c r="B97" s="17">
        <v>4</v>
      </c>
      <c r="C97" s="17" t="s">
        <v>471</v>
      </c>
      <c r="D97" s="17" t="s">
        <v>30</v>
      </c>
      <c r="E97" s="18" t="s">
        <v>2138</v>
      </c>
      <c r="F97" s="17"/>
      <c r="G97" s="17"/>
      <c r="H97" s="17"/>
      <c r="I97" s="18" t="s">
        <v>472</v>
      </c>
    </row>
    <row r="98" spans="2:9" hidden="1" x14ac:dyDescent="0.25">
      <c r="B98" s="17">
        <v>4</v>
      </c>
      <c r="C98" s="17" t="s">
        <v>473</v>
      </c>
      <c r="D98" s="17" t="s">
        <v>30</v>
      </c>
      <c r="E98" s="18" t="s">
        <v>2139</v>
      </c>
      <c r="F98" s="17"/>
      <c r="G98" s="17"/>
      <c r="H98" s="17"/>
      <c r="I98" s="18" t="s">
        <v>474</v>
      </c>
    </row>
    <row r="99" spans="2:9" hidden="1" x14ac:dyDescent="0.25">
      <c r="B99" s="17">
        <v>4</v>
      </c>
      <c r="C99" s="17" t="s">
        <v>475</v>
      </c>
      <c r="D99" s="17" t="s">
        <v>40</v>
      </c>
      <c r="E99" s="18" t="s">
        <v>2140</v>
      </c>
      <c r="F99" s="17"/>
      <c r="G99" s="17"/>
      <c r="H99" s="17"/>
      <c r="I99" s="18" t="s">
        <v>476</v>
      </c>
    </row>
    <row r="100" spans="2:9" hidden="1" x14ac:dyDescent="0.25">
      <c r="B100" s="17">
        <v>4</v>
      </c>
      <c r="C100" s="17" t="s">
        <v>477</v>
      </c>
      <c r="D100" s="17" t="s">
        <v>30</v>
      </c>
      <c r="E100" s="18" t="s">
        <v>2141</v>
      </c>
      <c r="F100" s="17"/>
      <c r="G100" s="17"/>
      <c r="H100" s="17"/>
      <c r="I100" s="18" t="s">
        <v>478</v>
      </c>
    </row>
    <row r="101" spans="2:9" hidden="1" x14ac:dyDescent="0.25">
      <c r="B101" s="17">
        <v>5</v>
      </c>
      <c r="C101" s="17" t="s">
        <v>479</v>
      </c>
      <c r="D101" s="17" t="s">
        <v>30</v>
      </c>
      <c r="E101" s="18" t="s">
        <v>2142</v>
      </c>
      <c r="F101" s="17"/>
      <c r="G101" s="17"/>
      <c r="H101" s="17"/>
      <c r="I101" s="18" t="s">
        <v>159</v>
      </c>
    </row>
    <row r="102" spans="2:9" hidden="1" x14ac:dyDescent="0.25">
      <c r="B102" s="17">
        <v>6</v>
      </c>
      <c r="C102" s="17" t="s">
        <v>480</v>
      </c>
      <c r="D102" s="17" t="s">
        <v>30</v>
      </c>
      <c r="E102" s="18" t="s">
        <v>2143</v>
      </c>
      <c r="F102" s="17"/>
      <c r="G102" s="17"/>
      <c r="H102" s="17"/>
      <c r="I102" s="18" t="s">
        <v>412</v>
      </c>
    </row>
    <row r="103" spans="2:9" hidden="1" x14ac:dyDescent="0.25">
      <c r="B103" s="17">
        <v>6</v>
      </c>
      <c r="C103" s="17" t="s">
        <v>481</v>
      </c>
      <c r="D103" s="17" t="s">
        <v>482</v>
      </c>
      <c r="E103" s="18" t="s">
        <v>2144</v>
      </c>
      <c r="F103" s="17"/>
      <c r="G103" s="17"/>
      <c r="H103" s="17"/>
      <c r="I103" s="18" t="s">
        <v>483</v>
      </c>
    </row>
    <row r="104" spans="2:9" hidden="1" x14ac:dyDescent="0.25">
      <c r="B104" s="17">
        <v>5</v>
      </c>
      <c r="C104" s="17" t="s">
        <v>484</v>
      </c>
      <c r="D104" s="17" t="s">
        <v>30</v>
      </c>
      <c r="E104" s="18" t="s">
        <v>2145</v>
      </c>
      <c r="F104" s="17"/>
      <c r="G104" s="17"/>
      <c r="H104" s="17"/>
      <c r="I104" s="18" t="s">
        <v>135</v>
      </c>
    </row>
    <row r="105" spans="2:9" hidden="1" x14ac:dyDescent="0.25">
      <c r="B105" s="17">
        <v>6</v>
      </c>
      <c r="C105" s="17" t="s">
        <v>485</v>
      </c>
      <c r="D105" s="17" t="s">
        <v>40</v>
      </c>
      <c r="E105" s="18" t="s">
        <v>2146</v>
      </c>
      <c r="F105" s="17"/>
      <c r="G105" s="17"/>
      <c r="H105" s="17"/>
      <c r="I105" s="18" t="s">
        <v>486</v>
      </c>
    </row>
    <row r="106" spans="2:9" hidden="1" x14ac:dyDescent="0.25">
      <c r="B106" s="17">
        <v>6</v>
      </c>
      <c r="C106" s="17" t="s">
        <v>487</v>
      </c>
      <c r="D106" s="17" t="s">
        <v>40</v>
      </c>
      <c r="E106" s="18" t="s">
        <v>2147</v>
      </c>
      <c r="F106" s="17"/>
      <c r="G106" s="17"/>
      <c r="H106" s="17"/>
      <c r="I106" s="18" t="s">
        <v>488</v>
      </c>
    </row>
    <row r="107" spans="2:9" hidden="1" x14ac:dyDescent="0.25">
      <c r="B107" s="17">
        <v>5</v>
      </c>
      <c r="C107" s="17" t="s">
        <v>489</v>
      </c>
      <c r="D107" s="17" t="s">
        <v>30</v>
      </c>
      <c r="E107" s="18" t="s">
        <v>2148</v>
      </c>
      <c r="F107" s="17"/>
      <c r="G107" s="17"/>
      <c r="H107" s="17"/>
      <c r="I107" s="18" t="s">
        <v>490</v>
      </c>
    </row>
    <row r="108" spans="2:9" hidden="1" x14ac:dyDescent="0.25">
      <c r="B108" s="17">
        <v>6</v>
      </c>
      <c r="C108" s="17" t="s">
        <v>126</v>
      </c>
      <c r="D108" s="17" t="s">
        <v>49</v>
      </c>
      <c r="E108" s="18" t="s">
        <v>2149</v>
      </c>
      <c r="F108" s="17"/>
      <c r="G108" s="17"/>
      <c r="H108" s="17"/>
      <c r="I108" s="18" t="s">
        <v>127</v>
      </c>
    </row>
    <row r="109" spans="2:9" hidden="1" x14ac:dyDescent="0.25">
      <c r="B109" s="17">
        <v>6</v>
      </c>
      <c r="C109" s="17" t="s">
        <v>491</v>
      </c>
      <c r="D109" s="17" t="s">
        <v>49</v>
      </c>
      <c r="E109" s="18" t="s">
        <v>2150</v>
      </c>
      <c r="F109" s="17"/>
      <c r="G109" s="17"/>
      <c r="H109" s="17"/>
      <c r="I109" s="18" t="s">
        <v>127</v>
      </c>
    </row>
    <row r="110" spans="2:9" hidden="1" x14ac:dyDescent="0.25">
      <c r="B110" s="17">
        <v>6</v>
      </c>
      <c r="C110" s="17" t="s">
        <v>492</v>
      </c>
      <c r="D110" s="17" t="s">
        <v>30</v>
      </c>
      <c r="E110" s="18" t="s">
        <v>2151</v>
      </c>
      <c r="F110" s="17"/>
      <c r="G110" s="17"/>
      <c r="H110" s="17"/>
      <c r="I110" s="18" t="s">
        <v>493</v>
      </c>
    </row>
    <row r="111" spans="2:9" hidden="1" x14ac:dyDescent="0.25">
      <c r="B111" s="17">
        <v>5</v>
      </c>
      <c r="C111" s="17" t="s">
        <v>494</v>
      </c>
      <c r="D111" s="17" t="s">
        <v>30</v>
      </c>
      <c r="E111" s="18" t="s">
        <v>2152</v>
      </c>
      <c r="F111" s="17"/>
      <c r="G111" s="17"/>
      <c r="H111" s="17"/>
      <c r="I111" s="18" t="s">
        <v>135</v>
      </c>
    </row>
    <row r="112" spans="2:9" hidden="1" x14ac:dyDescent="0.25">
      <c r="B112" s="17">
        <v>6</v>
      </c>
      <c r="C112" s="17" t="s">
        <v>485</v>
      </c>
      <c r="D112" s="17" t="s">
        <v>40</v>
      </c>
      <c r="E112" s="18" t="s">
        <v>2146</v>
      </c>
      <c r="F112" s="17"/>
      <c r="G112" s="17"/>
      <c r="H112" s="17"/>
      <c r="I112" s="18" t="s">
        <v>486</v>
      </c>
    </row>
    <row r="113" spans="2:9" hidden="1" x14ac:dyDescent="0.25">
      <c r="B113" s="17">
        <v>6</v>
      </c>
      <c r="C113" s="17" t="s">
        <v>495</v>
      </c>
      <c r="D113" s="17" t="s">
        <v>30</v>
      </c>
      <c r="E113" s="18" t="s">
        <v>2153</v>
      </c>
      <c r="F113" s="17"/>
      <c r="G113" s="17"/>
      <c r="H113" s="17"/>
      <c r="I113" s="18" t="s">
        <v>370</v>
      </c>
    </row>
    <row r="114" spans="2:9" hidden="1" x14ac:dyDescent="0.25">
      <c r="B114" s="17">
        <v>4</v>
      </c>
      <c r="C114" s="17" t="s">
        <v>496</v>
      </c>
      <c r="D114" s="17" t="s">
        <v>43</v>
      </c>
      <c r="E114" s="18" t="s">
        <v>2154</v>
      </c>
      <c r="F114" s="17"/>
      <c r="G114" s="17"/>
      <c r="H114" s="17"/>
      <c r="I114" s="18" t="s">
        <v>497</v>
      </c>
    </row>
    <row r="115" spans="2:9" hidden="1" x14ac:dyDescent="0.25">
      <c r="B115" s="17">
        <v>5</v>
      </c>
      <c r="C115" s="17" t="s">
        <v>124</v>
      </c>
      <c r="D115" s="17" t="s">
        <v>49</v>
      </c>
      <c r="E115" s="18" t="s">
        <v>2114</v>
      </c>
      <c r="F115" s="17"/>
      <c r="G115" s="17"/>
      <c r="H115" s="17"/>
      <c r="I115" s="18" t="s">
        <v>125</v>
      </c>
    </row>
    <row r="116" spans="2:9" hidden="1" x14ac:dyDescent="0.25">
      <c r="B116" s="17">
        <v>5</v>
      </c>
      <c r="C116" s="17" t="s">
        <v>498</v>
      </c>
      <c r="D116" s="17" t="s">
        <v>49</v>
      </c>
      <c r="E116" s="18" t="s">
        <v>2155</v>
      </c>
      <c r="F116" s="17"/>
      <c r="G116" s="17"/>
      <c r="H116" s="17"/>
      <c r="I116" s="18" t="s">
        <v>127</v>
      </c>
    </row>
    <row r="117" spans="2:9" hidden="1" x14ac:dyDescent="0.25">
      <c r="B117" s="17">
        <v>5</v>
      </c>
      <c r="C117" s="17" t="s">
        <v>417</v>
      </c>
      <c r="D117" s="17" t="s">
        <v>49</v>
      </c>
      <c r="E117" s="18" t="s">
        <v>2124</v>
      </c>
      <c r="F117" s="17"/>
      <c r="G117" s="17"/>
      <c r="H117" s="17"/>
      <c r="I117" s="18" t="s">
        <v>125</v>
      </c>
    </row>
    <row r="118" spans="2:9" hidden="1" x14ac:dyDescent="0.25">
      <c r="B118" s="17">
        <v>5</v>
      </c>
      <c r="C118" s="17" t="s">
        <v>499</v>
      </c>
      <c r="D118" s="17" t="s">
        <v>40</v>
      </c>
      <c r="E118" s="18" t="s">
        <v>2156</v>
      </c>
      <c r="F118" s="17"/>
      <c r="G118" s="17"/>
      <c r="H118" s="17"/>
      <c r="I118" s="18" t="s">
        <v>500</v>
      </c>
    </row>
    <row r="119" spans="2:9" hidden="1" x14ac:dyDescent="0.25">
      <c r="B119" s="17">
        <v>5</v>
      </c>
      <c r="C119" s="17" t="s">
        <v>501</v>
      </c>
      <c r="D119" s="17" t="s">
        <v>30</v>
      </c>
      <c r="E119" s="18" t="s">
        <v>2157</v>
      </c>
      <c r="F119" s="17"/>
      <c r="G119" s="17"/>
      <c r="H119" s="17"/>
      <c r="I119" s="18" t="s">
        <v>502</v>
      </c>
    </row>
    <row r="120" spans="2:9" hidden="1" x14ac:dyDescent="0.25">
      <c r="B120" s="17">
        <v>5</v>
      </c>
      <c r="C120" s="17" t="s">
        <v>503</v>
      </c>
      <c r="D120" s="17" t="s">
        <v>43</v>
      </c>
      <c r="E120" s="18" t="s">
        <v>2158</v>
      </c>
      <c r="F120" s="17"/>
      <c r="G120" s="17"/>
      <c r="H120" s="17"/>
      <c r="I120" s="18" t="s">
        <v>504</v>
      </c>
    </row>
    <row r="121" spans="2:9" hidden="1" x14ac:dyDescent="0.25">
      <c r="B121" s="17">
        <v>4</v>
      </c>
      <c r="C121" s="17" t="s">
        <v>505</v>
      </c>
      <c r="D121" s="17" t="s">
        <v>30</v>
      </c>
      <c r="E121" s="18" t="s">
        <v>2159</v>
      </c>
      <c r="F121" s="17"/>
      <c r="G121" s="17"/>
      <c r="H121" s="17"/>
      <c r="I121" s="18" t="s">
        <v>506</v>
      </c>
    </row>
    <row r="122" spans="2:9" hidden="1" x14ac:dyDescent="0.25">
      <c r="B122" s="17">
        <v>5</v>
      </c>
      <c r="C122" s="17" t="s">
        <v>507</v>
      </c>
      <c r="D122" s="17" t="s">
        <v>49</v>
      </c>
      <c r="E122" s="18" t="s">
        <v>2160</v>
      </c>
      <c r="F122" s="17"/>
      <c r="G122" s="17"/>
      <c r="H122" s="17"/>
      <c r="I122" s="18" t="s">
        <v>125</v>
      </c>
    </row>
    <row r="123" spans="2:9" hidden="1" x14ac:dyDescent="0.25">
      <c r="B123" s="17">
        <v>5</v>
      </c>
      <c r="C123" s="17" t="s">
        <v>508</v>
      </c>
      <c r="D123" s="17" t="s">
        <v>30</v>
      </c>
      <c r="E123" s="18" t="s">
        <v>2161</v>
      </c>
      <c r="F123" s="17"/>
      <c r="G123" s="17"/>
      <c r="H123" s="17"/>
      <c r="I123" s="18" t="s">
        <v>509</v>
      </c>
    </row>
    <row r="124" spans="2:9" hidden="1" x14ac:dyDescent="0.25">
      <c r="B124" s="17">
        <v>4</v>
      </c>
      <c r="C124" s="17" t="s">
        <v>510</v>
      </c>
      <c r="D124" s="17" t="s">
        <v>30</v>
      </c>
      <c r="E124" s="18" t="s">
        <v>2162</v>
      </c>
      <c r="F124" s="17"/>
      <c r="G124" s="17"/>
      <c r="H124" s="17"/>
      <c r="I124" s="18" t="s">
        <v>511</v>
      </c>
    </row>
    <row r="125" spans="2:9" hidden="1" x14ac:dyDescent="0.25">
      <c r="B125" s="17">
        <v>5</v>
      </c>
      <c r="C125" s="17" t="s">
        <v>122</v>
      </c>
      <c r="D125" s="17" t="s">
        <v>49</v>
      </c>
      <c r="E125" s="18" t="s">
        <v>168</v>
      </c>
      <c r="F125" s="17"/>
      <c r="G125" s="17"/>
      <c r="H125" s="17"/>
      <c r="I125" s="18" t="s">
        <v>123</v>
      </c>
    </row>
    <row r="126" spans="2:9" hidden="1" x14ac:dyDescent="0.25">
      <c r="B126" s="17">
        <v>5</v>
      </c>
      <c r="C126" s="17" t="s">
        <v>512</v>
      </c>
      <c r="D126" s="17" t="s">
        <v>49</v>
      </c>
      <c r="E126" s="18" t="s">
        <v>2163</v>
      </c>
      <c r="F126" s="17"/>
      <c r="G126" s="17"/>
      <c r="H126" s="17"/>
      <c r="I126" s="18" t="s">
        <v>123</v>
      </c>
    </row>
    <row r="127" spans="2:9" hidden="1" x14ac:dyDescent="0.25">
      <c r="B127" s="17">
        <v>5</v>
      </c>
      <c r="C127" s="17" t="s">
        <v>417</v>
      </c>
      <c r="D127" s="17" t="s">
        <v>49</v>
      </c>
      <c r="E127" s="18" t="s">
        <v>2124</v>
      </c>
      <c r="F127" s="17"/>
      <c r="G127" s="17"/>
      <c r="H127" s="17"/>
      <c r="I127" s="18" t="s">
        <v>125</v>
      </c>
    </row>
    <row r="128" spans="2:9" hidden="1" x14ac:dyDescent="0.25">
      <c r="B128" s="17">
        <v>5</v>
      </c>
      <c r="C128" s="17" t="s">
        <v>513</v>
      </c>
      <c r="D128" s="17" t="s">
        <v>30</v>
      </c>
      <c r="E128" s="18" t="s">
        <v>2164</v>
      </c>
      <c r="F128" s="17"/>
      <c r="G128" s="17"/>
      <c r="H128" s="17"/>
      <c r="I128" s="18" t="s">
        <v>514</v>
      </c>
    </row>
    <row r="129" spans="2:9" hidden="1" x14ac:dyDescent="0.25">
      <c r="B129" s="17">
        <v>4</v>
      </c>
      <c r="C129" s="17" t="s">
        <v>515</v>
      </c>
      <c r="D129" s="17" t="s">
        <v>30</v>
      </c>
      <c r="E129" s="18" t="s">
        <v>2165</v>
      </c>
      <c r="F129" s="17"/>
      <c r="G129" s="17"/>
      <c r="H129" s="17"/>
      <c r="I129" s="18" t="s">
        <v>506</v>
      </c>
    </row>
    <row r="130" spans="2:9" hidden="1" x14ac:dyDescent="0.25">
      <c r="B130" s="17">
        <v>5</v>
      </c>
      <c r="C130" s="17" t="s">
        <v>516</v>
      </c>
      <c r="D130" s="17" t="s">
        <v>41</v>
      </c>
      <c r="E130" s="18" t="s">
        <v>2166</v>
      </c>
      <c r="F130" s="17"/>
      <c r="G130" s="17"/>
      <c r="H130" s="17"/>
      <c r="I130" s="18" t="s">
        <v>517</v>
      </c>
    </row>
    <row r="131" spans="2:9" hidden="1" x14ac:dyDescent="0.25">
      <c r="B131" s="17">
        <v>5</v>
      </c>
      <c r="C131" s="17" t="s">
        <v>518</v>
      </c>
      <c r="D131" s="17" t="s">
        <v>30</v>
      </c>
      <c r="E131" s="18" t="s">
        <v>2167</v>
      </c>
      <c r="F131" s="17"/>
      <c r="G131" s="17"/>
      <c r="H131" s="17"/>
      <c r="I131" s="18" t="s">
        <v>509</v>
      </c>
    </row>
    <row r="132" spans="2:9" hidden="1" x14ac:dyDescent="0.25">
      <c r="B132" s="17">
        <v>4</v>
      </c>
      <c r="C132" s="17" t="s">
        <v>519</v>
      </c>
      <c r="D132" s="17" t="s">
        <v>30</v>
      </c>
      <c r="E132" s="18" t="s">
        <v>2168</v>
      </c>
      <c r="F132" s="17"/>
      <c r="G132" s="17"/>
      <c r="H132" s="17"/>
      <c r="I132" s="18" t="s">
        <v>474</v>
      </c>
    </row>
    <row r="133" spans="2:9" ht="31.5" x14ac:dyDescent="0.25">
      <c r="B133" s="17">
        <v>4</v>
      </c>
      <c r="C133" s="17" t="s">
        <v>520</v>
      </c>
      <c r="D133" s="17" t="s">
        <v>30</v>
      </c>
      <c r="E133" s="18" t="s">
        <v>2169</v>
      </c>
      <c r="F133" s="17" t="s">
        <v>31</v>
      </c>
      <c r="G133" s="19" t="s">
        <v>521</v>
      </c>
      <c r="H133" s="19" t="s">
        <v>45</v>
      </c>
      <c r="I133" s="18" t="s">
        <v>522</v>
      </c>
    </row>
    <row r="134" spans="2:9" hidden="1" x14ac:dyDescent="0.25">
      <c r="B134" s="17">
        <v>5</v>
      </c>
      <c r="C134" s="17" t="s">
        <v>523</v>
      </c>
      <c r="D134" s="17" t="s">
        <v>30</v>
      </c>
      <c r="E134" s="18" t="s">
        <v>2170</v>
      </c>
      <c r="F134" s="17"/>
      <c r="G134" s="17"/>
      <c r="H134" s="17"/>
      <c r="I134" s="18" t="s">
        <v>524</v>
      </c>
    </row>
    <row r="135" spans="2:9" hidden="1" x14ac:dyDescent="0.25">
      <c r="B135" s="17">
        <v>6</v>
      </c>
      <c r="C135" s="17" t="s">
        <v>525</v>
      </c>
      <c r="D135" s="17" t="s">
        <v>49</v>
      </c>
      <c r="E135" s="18" t="s">
        <v>2171</v>
      </c>
      <c r="F135" s="17"/>
      <c r="G135" s="17"/>
      <c r="H135" s="17"/>
      <c r="I135" s="18" t="s">
        <v>121</v>
      </c>
    </row>
    <row r="136" spans="2:9" hidden="1" x14ac:dyDescent="0.25">
      <c r="B136" s="17">
        <v>6</v>
      </c>
      <c r="C136" s="17" t="s">
        <v>126</v>
      </c>
      <c r="D136" s="17" t="s">
        <v>49</v>
      </c>
      <c r="E136" s="18" t="s">
        <v>2149</v>
      </c>
      <c r="F136" s="17"/>
      <c r="G136" s="17"/>
      <c r="H136" s="17"/>
      <c r="I136" s="18" t="s">
        <v>127</v>
      </c>
    </row>
    <row r="137" spans="2:9" hidden="1" x14ac:dyDescent="0.25">
      <c r="B137" s="17">
        <v>6</v>
      </c>
      <c r="C137" s="17" t="s">
        <v>417</v>
      </c>
      <c r="D137" s="17" t="s">
        <v>49</v>
      </c>
      <c r="E137" s="18" t="s">
        <v>2094</v>
      </c>
      <c r="F137" s="17"/>
      <c r="G137" s="17"/>
      <c r="H137" s="17"/>
      <c r="I137" s="18" t="s">
        <v>125</v>
      </c>
    </row>
    <row r="138" spans="2:9" hidden="1" x14ac:dyDescent="0.25">
      <c r="B138" s="17">
        <v>6</v>
      </c>
      <c r="C138" s="17" t="s">
        <v>516</v>
      </c>
      <c r="D138" s="17" t="s">
        <v>41</v>
      </c>
      <c r="E138" s="18" t="s">
        <v>2172</v>
      </c>
      <c r="F138" s="17"/>
      <c r="G138" s="17"/>
      <c r="H138" s="17"/>
      <c r="I138" s="18" t="s">
        <v>517</v>
      </c>
    </row>
    <row r="139" spans="2:9" hidden="1" x14ac:dyDescent="0.25">
      <c r="B139" s="17">
        <v>6</v>
      </c>
      <c r="C139" s="17" t="s">
        <v>526</v>
      </c>
      <c r="D139" s="17" t="s">
        <v>30</v>
      </c>
      <c r="E139" s="18" t="s">
        <v>2173</v>
      </c>
      <c r="F139" s="17"/>
      <c r="G139" s="17"/>
      <c r="H139" s="17"/>
      <c r="I139" s="18" t="s">
        <v>527</v>
      </c>
    </row>
    <row r="140" spans="2:9" hidden="1" x14ac:dyDescent="0.25">
      <c r="B140" s="17">
        <v>5</v>
      </c>
      <c r="C140" s="17" t="s">
        <v>528</v>
      </c>
      <c r="D140" s="17" t="s">
        <v>30</v>
      </c>
      <c r="E140" s="18" t="s">
        <v>2174</v>
      </c>
      <c r="F140" s="17"/>
      <c r="G140" s="17"/>
      <c r="H140" s="17"/>
      <c r="I140" s="18" t="s">
        <v>524</v>
      </c>
    </row>
    <row r="141" spans="2:9" hidden="1" x14ac:dyDescent="0.25">
      <c r="B141" s="17">
        <v>6</v>
      </c>
      <c r="C141" s="17" t="s">
        <v>124</v>
      </c>
      <c r="D141" s="17" t="s">
        <v>49</v>
      </c>
      <c r="E141" s="18" t="s">
        <v>2093</v>
      </c>
      <c r="F141" s="17"/>
      <c r="G141" s="17"/>
      <c r="H141" s="17"/>
      <c r="I141" s="18" t="s">
        <v>125</v>
      </c>
    </row>
    <row r="142" spans="2:9" hidden="1" x14ac:dyDescent="0.25">
      <c r="B142" s="17">
        <v>6</v>
      </c>
      <c r="C142" s="17" t="s">
        <v>417</v>
      </c>
      <c r="D142" s="17" t="s">
        <v>49</v>
      </c>
      <c r="E142" s="18" t="s">
        <v>2094</v>
      </c>
      <c r="F142" s="17"/>
      <c r="G142" s="17"/>
      <c r="H142" s="17"/>
      <c r="I142" s="18" t="s">
        <v>125</v>
      </c>
    </row>
    <row r="143" spans="2:9" hidden="1" x14ac:dyDescent="0.25">
      <c r="B143" s="17">
        <v>6</v>
      </c>
      <c r="C143" s="17" t="s">
        <v>529</v>
      </c>
      <c r="D143" s="17" t="s">
        <v>42</v>
      </c>
      <c r="E143" s="18" t="s">
        <v>2175</v>
      </c>
      <c r="F143" s="17"/>
      <c r="G143" s="17"/>
      <c r="H143" s="17"/>
      <c r="I143" s="18" t="s">
        <v>500</v>
      </c>
    </row>
    <row r="144" spans="2:9" hidden="1" x14ac:dyDescent="0.25">
      <c r="B144" s="17">
        <v>6</v>
      </c>
      <c r="C144" s="17" t="s">
        <v>530</v>
      </c>
      <c r="D144" s="17" t="s">
        <v>30</v>
      </c>
      <c r="E144" s="18" t="s">
        <v>2176</v>
      </c>
      <c r="F144" s="17"/>
      <c r="G144" s="17"/>
      <c r="H144" s="17"/>
      <c r="I144" s="18" t="s">
        <v>527</v>
      </c>
    </row>
    <row r="145" spans="2:9" hidden="1" x14ac:dyDescent="0.25">
      <c r="B145" s="17">
        <v>4</v>
      </c>
      <c r="C145" s="17" t="s">
        <v>531</v>
      </c>
      <c r="D145" s="17" t="s">
        <v>40</v>
      </c>
      <c r="E145" s="18" t="s">
        <v>2177</v>
      </c>
      <c r="F145" s="17"/>
      <c r="G145" s="17"/>
      <c r="H145" s="17"/>
      <c r="I145" s="18" t="s">
        <v>532</v>
      </c>
    </row>
    <row r="146" spans="2:9" hidden="1" x14ac:dyDescent="0.25">
      <c r="B146" s="17">
        <v>4</v>
      </c>
      <c r="C146" s="17" t="s">
        <v>533</v>
      </c>
      <c r="D146" s="17" t="s">
        <v>42</v>
      </c>
      <c r="E146" s="18" t="s">
        <v>2178</v>
      </c>
      <c r="F146" s="17"/>
      <c r="G146" s="17"/>
      <c r="H146" s="17"/>
      <c r="I146" s="18" t="s">
        <v>534</v>
      </c>
    </row>
    <row r="147" spans="2:9" hidden="1" x14ac:dyDescent="0.25">
      <c r="B147" s="17">
        <v>4</v>
      </c>
      <c r="C147" s="17" t="s">
        <v>535</v>
      </c>
      <c r="D147" s="17" t="s">
        <v>30</v>
      </c>
      <c r="E147" s="18" t="s">
        <v>2179</v>
      </c>
      <c r="F147" s="17"/>
      <c r="G147" s="17"/>
      <c r="H147" s="17"/>
      <c r="I147" s="18" t="s">
        <v>536</v>
      </c>
    </row>
    <row r="148" spans="2:9" hidden="1" x14ac:dyDescent="0.25">
      <c r="B148" s="17">
        <v>4</v>
      </c>
      <c r="C148" s="17" t="s">
        <v>537</v>
      </c>
      <c r="D148" s="17" t="s">
        <v>40</v>
      </c>
      <c r="E148" s="18" t="s">
        <v>2180</v>
      </c>
      <c r="F148" s="17"/>
      <c r="G148" s="17"/>
      <c r="H148" s="17"/>
      <c r="I148" s="18" t="s">
        <v>538</v>
      </c>
    </row>
    <row r="149" spans="2:9" hidden="1" x14ac:dyDescent="0.25">
      <c r="B149" s="17">
        <v>4</v>
      </c>
      <c r="C149" s="17" t="s">
        <v>539</v>
      </c>
      <c r="D149" s="17" t="s">
        <v>30</v>
      </c>
      <c r="E149" s="18" t="s">
        <v>2181</v>
      </c>
      <c r="F149" s="17"/>
      <c r="G149" s="17"/>
      <c r="H149" s="17"/>
      <c r="I149" s="18" t="s">
        <v>540</v>
      </c>
    </row>
    <row r="150" spans="2:9" hidden="1" x14ac:dyDescent="0.25">
      <c r="B150" s="17">
        <v>4</v>
      </c>
      <c r="C150" s="17" t="s">
        <v>541</v>
      </c>
      <c r="D150" s="17" t="s">
        <v>30</v>
      </c>
      <c r="E150" s="18" t="s">
        <v>2182</v>
      </c>
      <c r="F150" s="17"/>
      <c r="G150" s="17"/>
      <c r="H150" s="17"/>
      <c r="I150" s="18" t="s">
        <v>542</v>
      </c>
    </row>
    <row r="151" spans="2:9" hidden="1" x14ac:dyDescent="0.25">
      <c r="B151" s="17">
        <v>4</v>
      </c>
      <c r="C151" s="17" t="s">
        <v>543</v>
      </c>
      <c r="D151" s="17" t="s">
        <v>40</v>
      </c>
      <c r="E151" s="18" t="s">
        <v>2183</v>
      </c>
      <c r="F151" s="17"/>
      <c r="G151" s="17"/>
      <c r="H151" s="17"/>
      <c r="I151" s="18" t="s">
        <v>544</v>
      </c>
    </row>
    <row r="152" spans="2:9" hidden="1" x14ac:dyDescent="0.25">
      <c r="B152" s="17">
        <v>4</v>
      </c>
      <c r="C152" s="17" t="s">
        <v>545</v>
      </c>
      <c r="D152" s="17" t="s">
        <v>40</v>
      </c>
      <c r="E152" s="18" t="s">
        <v>2184</v>
      </c>
      <c r="F152" s="17"/>
      <c r="G152" s="17"/>
      <c r="H152" s="17"/>
      <c r="I152" s="18" t="s">
        <v>546</v>
      </c>
    </row>
    <row r="153" spans="2:9" hidden="1" x14ac:dyDescent="0.25">
      <c r="B153" s="17">
        <v>4</v>
      </c>
      <c r="C153" s="17" t="s">
        <v>547</v>
      </c>
      <c r="D153" s="17" t="s">
        <v>30</v>
      </c>
      <c r="E153" s="18" t="s">
        <v>2185</v>
      </c>
      <c r="F153" s="17"/>
      <c r="G153" s="17"/>
      <c r="H153" s="17"/>
      <c r="I153" s="18" t="s">
        <v>548</v>
      </c>
    </row>
    <row r="154" spans="2:9" hidden="1" x14ac:dyDescent="0.25">
      <c r="B154" s="17">
        <v>4</v>
      </c>
      <c r="C154" s="17" t="s">
        <v>549</v>
      </c>
      <c r="D154" s="17" t="s">
        <v>30</v>
      </c>
      <c r="E154" s="18" t="s">
        <v>2186</v>
      </c>
      <c r="F154" s="17"/>
      <c r="G154" s="17"/>
      <c r="H154" s="17"/>
      <c r="I154" s="18" t="s">
        <v>550</v>
      </c>
    </row>
    <row r="155" spans="2:9" hidden="1" x14ac:dyDescent="0.25">
      <c r="B155" s="17">
        <v>4</v>
      </c>
      <c r="C155" s="17" t="s">
        <v>551</v>
      </c>
      <c r="D155" s="17" t="s">
        <v>30</v>
      </c>
      <c r="E155" s="18" t="s">
        <v>2187</v>
      </c>
      <c r="F155" s="17"/>
      <c r="G155" s="17"/>
      <c r="H155" s="17"/>
      <c r="I155" s="18" t="s">
        <v>550</v>
      </c>
    </row>
    <row r="156" spans="2:9" hidden="1" x14ac:dyDescent="0.25">
      <c r="B156" s="17">
        <v>4</v>
      </c>
      <c r="C156" s="17" t="s">
        <v>552</v>
      </c>
      <c r="D156" s="17" t="s">
        <v>30</v>
      </c>
      <c r="E156" s="18" t="s">
        <v>2188</v>
      </c>
      <c r="F156" s="17"/>
      <c r="G156" s="17"/>
      <c r="H156" s="17"/>
      <c r="I156" s="18" t="s">
        <v>553</v>
      </c>
    </row>
    <row r="157" spans="2:9" hidden="1" x14ac:dyDescent="0.25">
      <c r="B157" s="17">
        <v>4</v>
      </c>
      <c r="C157" s="17" t="s">
        <v>554</v>
      </c>
      <c r="D157" s="17" t="s">
        <v>30</v>
      </c>
      <c r="E157" s="18" t="s">
        <v>2189</v>
      </c>
      <c r="F157" s="17"/>
      <c r="G157" s="17"/>
      <c r="H157" s="17"/>
      <c r="I157" s="18" t="s">
        <v>555</v>
      </c>
    </row>
    <row r="158" spans="2:9" hidden="1" x14ac:dyDescent="0.25">
      <c r="B158" s="17">
        <v>4</v>
      </c>
      <c r="C158" s="17" t="s">
        <v>556</v>
      </c>
      <c r="D158" s="17" t="s">
        <v>30</v>
      </c>
      <c r="E158" s="18" t="s">
        <v>2190</v>
      </c>
      <c r="F158" s="17"/>
      <c r="G158" s="17"/>
      <c r="H158" s="17"/>
      <c r="I158" s="18" t="s">
        <v>437</v>
      </c>
    </row>
    <row r="159" spans="2:9" hidden="1" x14ac:dyDescent="0.25">
      <c r="B159" s="17">
        <v>4</v>
      </c>
      <c r="C159" s="17" t="s">
        <v>557</v>
      </c>
      <c r="D159" s="17" t="s">
        <v>42</v>
      </c>
      <c r="E159" s="18" t="s">
        <v>2191</v>
      </c>
      <c r="F159" s="17"/>
      <c r="G159" s="17"/>
      <c r="H159" s="17"/>
      <c r="I159" s="18" t="s">
        <v>558</v>
      </c>
    </row>
    <row r="160" spans="2:9" hidden="1" x14ac:dyDescent="0.25">
      <c r="B160" s="17">
        <v>5</v>
      </c>
      <c r="C160" s="17" t="s">
        <v>559</v>
      </c>
      <c r="D160" s="17" t="s">
        <v>40</v>
      </c>
      <c r="E160" s="18" t="s">
        <v>2192</v>
      </c>
      <c r="F160" s="17"/>
      <c r="G160" s="17"/>
      <c r="H160" s="17"/>
      <c r="I160" s="18" t="s">
        <v>560</v>
      </c>
    </row>
    <row r="161" spans="2:9" hidden="1" x14ac:dyDescent="0.25">
      <c r="B161" s="17">
        <v>5</v>
      </c>
      <c r="C161" s="17" t="s">
        <v>359</v>
      </c>
      <c r="D161" s="17" t="s">
        <v>30</v>
      </c>
      <c r="E161" s="18" t="s">
        <v>2193</v>
      </c>
      <c r="F161" s="17"/>
      <c r="G161" s="17"/>
      <c r="H161" s="17"/>
      <c r="I161" s="18" t="s">
        <v>360</v>
      </c>
    </row>
    <row r="162" spans="2:9" hidden="1" x14ac:dyDescent="0.25">
      <c r="B162" s="17">
        <v>5</v>
      </c>
      <c r="C162" s="17" t="s">
        <v>561</v>
      </c>
      <c r="D162" s="17" t="s">
        <v>30</v>
      </c>
      <c r="E162" s="18" t="s">
        <v>2194</v>
      </c>
      <c r="F162" s="17"/>
      <c r="G162" s="17"/>
      <c r="H162" s="17"/>
      <c r="I162" s="18" t="s">
        <v>562</v>
      </c>
    </row>
    <row r="163" spans="2:9" hidden="1" x14ac:dyDescent="0.25">
      <c r="B163" s="17">
        <v>4</v>
      </c>
      <c r="C163" s="17" t="s">
        <v>563</v>
      </c>
      <c r="D163" s="17" t="s">
        <v>30</v>
      </c>
      <c r="E163" s="18" t="s">
        <v>2195</v>
      </c>
      <c r="F163" s="17"/>
      <c r="G163" s="17"/>
      <c r="H163" s="17"/>
      <c r="I163" s="18" t="s">
        <v>564</v>
      </c>
    </row>
    <row r="164" spans="2:9" hidden="1" x14ac:dyDescent="0.25">
      <c r="B164" s="17">
        <v>5</v>
      </c>
      <c r="C164" s="17" t="s">
        <v>565</v>
      </c>
      <c r="D164" s="17" t="s">
        <v>42</v>
      </c>
      <c r="E164" s="18" t="s">
        <v>2196</v>
      </c>
      <c r="F164" s="17"/>
      <c r="G164" s="17"/>
      <c r="H164" s="17"/>
      <c r="I164" s="18" t="s">
        <v>566</v>
      </c>
    </row>
    <row r="165" spans="2:9" hidden="1" x14ac:dyDescent="0.25">
      <c r="B165" s="17">
        <v>5</v>
      </c>
      <c r="C165" s="17" t="s">
        <v>359</v>
      </c>
      <c r="D165" s="17" t="s">
        <v>30</v>
      </c>
      <c r="E165" s="18" t="s">
        <v>2193</v>
      </c>
      <c r="F165" s="17"/>
      <c r="G165" s="17"/>
      <c r="H165" s="17"/>
      <c r="I165" s="18" t="s">
        <v>360</v>
      </c>
    </row>
    <row r="166" spans="2:9" hidden="1" x14ac:dyDescent="0.25">
      <c r="B166" s="17">
        <v>5</v>
      </c>
      <c r="C166" s="17" t="s">
        <v>561</v>
      </c>
      <c r="D166" s="17" t="s">
        <v>30</v>
      </c>
      <c r="E166" s="18" t="s">
        <v>2194</v>
      </c>
      <c r="F166" s="17"/>
      <c r="G166" s="17"/>
      <c r="H166" s="17"/>
      <c r="I166" s="18" t="s">
        <v>562</v>
      </c>
    </row>
    <row r="167" spans="2:9" hidden="1" x14ac:dyDescent="0.25">
      <c r="B167" s="17">
        <v>4</v>
      </c>
      <c r="C167" s="17" t="s">
        <v>567</v>
      </c>
      <c r="D167" s="17" t="s">
        <v>30</v>
      </c>
      <c r="E167" s="18" t="s">
        <v>2197</v>
      </c>
      <c r="F167" s="17"/>
      <c r="G167" s="17"/>
      <c r="H167" s="17"/>
      <c r="I167" s="18" t="s">
        <v>568</v>
      </c>
    </row>
    <row r="168" spans="2:9" hidden="1" x14ac:dyDescent="0.25">
      <c r="B168" s="17">
        <v>5</v>
      </c>
      <c r="C168" s="17" t="s">
        <v>569</v>
      </c>
      <c r="D168" s="17" t="s">
        <v>42</v>
      </c>
      <c r="E168" s="18" t="s">
        <v>2198</v>
      </c>
      <c r="F168" s="17"/>
      <c r="G168" s="17"/>
      <c r="H168" s="17"/>
      <c r="I168" s="18" t="s">
        <v>437</v>
      </c>
    </row>
    <row r="169" spans="2:9" hidden="1" x14ac:dyDescent="0.25">
      <c r="B169" s="17">
        <v>5</v>
      </c>
      <c r="C169" s="17" t="s">
        <v>359</v>
      </c>
      <c r="D169" s="17" t="s">
        <v>30</v>
      </c>
      <c r="E169" s="18" t="s">
        <v>2193</v>
      </c>
      <c r="F169" s="17"/>
      <c r="G169" s="17"/>
      <c r="H169" s="17"/>
      <c r="I169" s="18" t="s">
        <v>360</v>
      </c>
    </row>
    <row r="170" spans="2:9" hidden="1" x14ac:dyDescent="0.25">
      <c r="B170" s="17">
        <v>5</v>
      </c>
      <c r="C170" s="17" t="s">
        <v>561</v>
      </c>
      <c r="D170" s="17" t="s">
        <v>30</v>
      </c>
      <c r="E170" s="18" t="s">
        <v>2194</v>
      </c>
      <c r="F170" s="17"/>
      <c r="G170" s="17"/>
      <c r="H170" s="17"/>
      <c r="I170" s="18" t="s">
        <v>562</v>
      </c>
    </row>
    <row r="171" spans="2:9" hidden="1" x14ac:dyDescent="0.25">
      <c r="B171" s="17">
        <v>4</v>
      </c>
      <c r="C171" s="17" t="s">
        <v>570</v>
      </c>
      <c r="D171" s="17" t="s">
        <v>30</v>
      </c>
      <c r="E171" s="18" t="s">
        <v>2199</v>
      </c>
      <c r="F171" s="17"/>
      <c r="G171" s="17"/>
      <c r="H171" s="17"/>
      <c r="I171" s="18" t="s">
        <v>571</v>
      </c>
    </row>
    <row r="172" spans="2:9" hidden="1" x14ac:dyDescent="0.25">
      <c r="B172" s="17">
        <v>5</v>
      </c>
      <c r="C172" s="17" t="s">
        <v>572</v>
      </c>
      <c r="D172" s="17" t="s">
        <v>40</v>
      </c>
      <c r="E172" s="18" t="s">
        <v>2200</v>
      </c>
      <c r="F172" s="17"/>
      <c r="G172" s="17"/>
      <c r="H172" s="17"/>
      <c r="I172" s="18" t="s">
        <v>573</v>
      </c>
    </row>
    <row r="173" spans="2:9" hidden="1" x14ac:dyDescent="0.25">
      <c r="B173" s="17">
        <v>5</v>
      </c>
      <c r="C173" s="17" t="s">
        <v>118</v>
      </c>
      <c r="D173" s="17" t="s">
        <v>30</v>
      </c>
      <c r="E173" s="18" t="s">
        <v>2137</v>
      </c>
      <c r="F173" s="17"/>
      <c r="G173" s="17"/>
      <c r="H173" s="17"/>
      <c r="I173" s="18" t="s">
        <v>119</v>
      </c>
    </row>
    <row r="174" spans="2:9" hidden="1" x14ac:dyDescent="0.25">
      <c r="B174" s="17">
        <v>4</v>
      </c>
      <c r="C174" s="17" t="s">
        <v>574</v>
      </c>
      <c r="D174" s="17" t="s">
        <v>40</v>
      </c>
      <c r="E174" s="18" t="s">
        <v>2201</v>
      </c>
      <c r="F174" s="17"/>
      <c r="G174" s="17"/>
      <c r="H174" s="17"/>
      <c r="I174" s="18" t="s">
        <v>575</v>
      </c>
    </row>
    <row r="175" spans="2:9" hidden="1" x14ac:dyDescent="0.25">
      <c r="B175" s="17">
        <v>4</v>
      </c>
      <c r="C175" s="17" t="s">
        <v>576</v>
      </c>
      <c r="D175" s="17" t="s">
        <v>30</v>
      </c>
      <c r="E175" s="18" t="s">
        <v>2202</v>
      </c>
      <c r="F175" s="17"/>
      <c r="G175" s="17"/>
      <c r="H175" s="17"/>
      <c r="I175" s="18" t="s">
        <v>577</v>
      </c>
    </row>
    <row r="176" spans="2:9" hidden="1" x14ac:dyDescent="0.25">
      <c r="B176" s="17">
        <v>4</v>
      </c>
      <c r="C176" s="17" t="s">
        <v>578</v>
      </c>
      <c r="D176" s="17" t="s">
        <v>30</v>
      </c>
      <c r="E176" s="18" t="s">
        <v>2203</v>
      </c>
      <c r="F176" s="17"/>
      <c r="G176" s="17"/>
      <c r="H176" s="17"/>
      <c r="I176" s="18" t="s">
        <v>579</v>
      </c>
    </row>
    <row r="177" spans="2:9" hidden="1" x14ac:dyDescent="0.25">
      <c r="B177" s="17">
        <v>4</v>
      </c>
      <c r="C177" s="17" t="s">
        <v>580</v>
      </c>
      <c r="D177" s="17" t="s">
        <v>40</v>
      </c>
      <c r="E177" s="18" t="s">
        <v>2204</v>
      </c>
      <c r="F177" s="17"/>
      <c r="G177" s="17"/>
      <c r="H177" s="17"/>
      <c r="I177" s="18" t="s">
        <v>581</v>
      </c>
    </row>
    <row r="178" spans="2:9" hidden="1" x14ac:dyDescent="0.25">
      <c r="B178" s="17">
        <v>4</v>
      </c>
      <c r="C178" s="17" t="s">
        <v>582</v>
      </c>
      <c r="D178" s="17" t="s">
        <v>30</v>
      </c>
      <c r="E178" s="18" t="s">
        <v>2205</v>
      </c>
      <c r="F178" s="17"/>
      <c r="G178" s="17"/>
      <c r="H178" s="17"/>
      <c r="I178" s="18" t="s">
        <v>583</v>
      </c>
    </row>
    <row r="179" spans="2:9" hidden="1" x14ac:dyDescent="0.25">
      <c r="B179" s="17">
        <v>5</v>
      </c>
      <c r="C179" s="17" t="s">
        <v>584</v>
      </c>
      <c r="D179" s="17" t="s">
        <v>30</v>
      </c>
      <c r="E179" s="18" t="s">
        <v>2206</v>
      </c>
      <c r="F179" s="17"/>
      <c r="G179" s="17"/>
      <c r="H179" s="17"/>
      <c r="I179" s="18" t="s">
        <v>128</v>
      </c>
    </row>
    <row r="180" spans="2:9" hidden="1" x14ac:dyDescent="0.25">
      <c r="B180" s="17">
        <v>5</v>
      </c>
      <c r="C180" s="17" t="s">
        <v>585</v>
      </c>
      <c r="D180" s="17" t="s">
        <v>30</v>
      </c>
      <c r="E180" s="18" t="s">
        <v>2207</v>
      </c>
      <c r="F180" s="17"/>
      <c r="G180" s="17"/>
      <c r="H180" s="17"/>
      <c r="I180" s="18" t="s">
        <v>128</v>
      </c>
    </row>
    <row r="181" spans="2:9" hidden="1" x14ac:dyDescent="0.25">
      <c r="B181" s="17">
        <v>5</v>
      </c>
      <c r="C181" s="17" t="s">
        <v>586</v>
      </c>
      <c r="D181" s="17" t="s">
        <v>30</v>
      </c>
      <c r="E181" s="18" t="s">
        <v>2208</v>
      </c>
      <c r="F181" s="17"/>
      <c r="G181" s="17"/>
      <c r="H181" s="17"/>
      <c r="I181" s="18" t="s">
        <v>587</v>
      </c>
    </row>
    <row r="182" spans="2:9" hidden="1" x14ac:dyDescent="0.25">
      <c r="B182" s="17">
        <v>5</v>
      </c>
      <c r="C182" s="17" t="s">
        <v>588</v>
      </c>
      <c r="D182" s="17" t="s">
        <v>30</v>
      </c>
      <c r="E182" s="18" t="s">
        <v>2209</v>
      </c>
      <c r="F182" s="17"/>
      <c r="G182" s="17"/>
      <c r="H182" s="17"/>
      <c r="I182" s="18" t="s">
        <v>128</v>
      </c>
    </row>
    <row r="183" spans="2:9" hidden="1" x14ac:dyDescent="0.25">
      <c r="B183" s="17">
        <v>5</v>
      </c>
      <c r="C183" s="17" t="s">
        <v>589</v>
      </c>
      <c r="D183" s="17" t="s">
        <v>30</v>
      </c>
      <c r="E183" s="18" t="s">
        <v>2210</v>
      </c>
      <c r="F183" s="17"/>
      <c r="G183" s="17"/>
      <c r="H183" s="17"/>
      <c r="I183" s="18" t="s">
        <v>128</v>
      </c>
    </row>
    <row r="184" spans="2:9" hidden="1" x14ac:dyDescent="0.25">
      <c r="B184" s="17">
        <v>5</v>
      </c>
      <c r="C184" s="17" t="s">
        <v>590</v>
      </c>
      <c r="D184" s="17" t="s">
        <v>30</v>
      </c>
      <c r="E184" s="18" t="s">
        <v>2211</v>
      </c>
      <c r="F184" s="17"/>
      <c r="G184" s="17"/>
      <c r="H184" s="17"/>
      <c r="I184" s="18" t="s">
        <v>591</v>
      </c>
    </row>
    <row r="185" spans="2:9" hidden="1" x14ac:dyDescent="0.25">
      <c r="B185" s="17">
        <v>5</v>
      </c>
      <c r="C185" s="17" t="s">
        <v>592</v>
      </c>
      <c r="D185" s="17" t="s">
        <v>30</v>
      </c>
      <c r="E185" s="18" t="s">
        <v>2212</v>
      </c>
      <c r="F185" s="17"/>
      <c r="G185" s="17"/>
      <c r="H185" s="17"/>
      <c r="I185" s="18" t="s">
        <v>591</v>
      </c>
    </row>
    <row r="186" spans="2:9" hidden="1" x14ac:dyDescent="0.25">
      <c r="B186" s="17">
        <v>5</v>
      </c>
      <c r="C186" s="17" t="s">
        <v>593</v>
      </c>
      <c r="D186" s="17" t="s">
        <v>30</v>
      </c>
      <c r="E186" s="18" t="s">
        <v>2213</v>
      </c>
      <c r="F186" s="17"/>
      <c r="G186" s="17"/>
      <c r="H186" s="17"/>
      <c r="I186" s="18" t="s">
        <v>128</v>
      </c>
    </row>
    <row r="187" spans="2:9" hidden="1" x14ac:dyDescent="0.25">
      <c r="B187" s="17">
        <v>5</v>
      </c>
      <c r="C187" s="17" t="s">
        <v>594</v>
      </c>
      <c r="D187" s="17" t="s">
        <v>30</v>
      </c>
      <c r="E187" s="18" t="s">
        <v>2214</v>
      </c>
      <c r="F187" s="17"/>
      <c r="G187" s="17"/>
      <c r="H187" s="17"/>
      <c r="I187" s="18" t="s">
        <v>595</v>
      </c>
    </row>
    <row r="188" spans="2:9" hidden="1" x14ac:dyDescent="0.25">
      <c r="B188" s="17">
        <v>6</v>
      </c>
      <c r="C188" s="17" t="s">
        <v>596</v>
      </c>
      <c r="D188" s="17" t="s">
        <v>41</v>
      </c>
      <c r="E188" s="18" t="s">
        <v>2215</v>
      </c>
      <c r="F188" s="17"/>
      <c r="G188" s="17"/>
      <c r="H188" s="17"/>
      <c r="I188" s="18" t="s">
        <v>129</v>
      </c>
    </row>
    <row r="189" spans="2:9" hidden="1" x14ac:dyDescent="0.25">
      <c r="B189" s="17">
        <v>6</v>
      </c>
      <c r="C189" s="17" t="s">
        <v>597</v>
      </c>
      <c r="D189" s="17" t="s">
        <v>41</v>
      </c>
      <c r="E189" s="18" t="s">
        <v>2216</v>
      </c>
      <c r="F189" s="17"/>
      <c r="G189" s="17"/>
      <c r="H189" s="17"/>
      <c r="I189" s="18" t="s">
        <v>129</v>
      </c>
    </row>
    <row r="190" spans="2:9" hidden="1" x14ac:dyDescent="0.25">
      <c r="B190" s="17">
        <v>6</v>
      </c>
      <c r="C190" s="17" t="s">
        <v>598</v>
      </c>
      <c r="D190" s="17" t="s">
        <v>44</v>
      </c>
      <c r="E190" s="18" t="s">
        <v>2217</v>
      </c>
      <c r="F190" s="17"/>
      <c r="G190" s="17"/>
      <c r="H190" s="17"/>
      <c r="I190" s="18" t="s">
        <v>599</v>
      </c>
    </row>
    <row r="191" spans="2:9" hidden="1" x14ac:dyDescent="0.25">
      <c r="B191" s="17">
        <v>6</v>
      </c>
      <c r="C191" s="17" t="s">
        <v>131</v>
      </c>
      <c r="D191" s="17" t="s">
        <v>49</v>
      </c>
      <c r="E191" s="18" t="s">
        <v>2218</v>
      </c>
      <c r="F191" s="17"/>
      <c r="G191" s="17"/>
      <c r="H191" s="17"/>
      <c r="I191" s="18" t="s">
        <v>123</v>
      </c>
    </row>
    <row r="192" spans="2:9" hidden="1" x14ac:dyDescent="0.25">
      <c r="B192" s="17">
        <v>6</v>
      </c>
      <c r="C192" s="17" t="s">
        <v>126</v>
      </c>
      <c r="D192" s="17" t="s">
        <v>49</v>
      </c>
      <c r="E192" s="18" t="s">
        <v>2149</v>
      </c>
      <c r="F192" s="17"/>
      <c r="G192" s="17"/>
      <c r="H192" s="17"/>
      <c r="I192" s="18" t="s">
        <v>127</v>
      </c>
    </row>
    <row r="193" spans="2:9" hidden="1" x14ac:dyDescent="0.25">
      <c r="B193" s="17">
        <v>6</v>
      </c>
      <c r="C193" s="17" t="s">
        <v>132</v>
      </c>
      <c r="D193" s="17" t="s">
        <v>49</v>
      </c>
      <c r="E193" s="18" t="s">
        <v>2219</v>
      </c>
      <c r="F193" s="17"/>
      <c r="G193" s="17"/>
      <c r="H193" s="17"/>
      <c r="I193" s="18" t="s">
        <v>127</v>
      </c>
    </row>
    <row r="194" spans="2:9" hidden="1" x14ac:dyDescent="0.25">
      <c r="B194" s="17">
        <v>6</v>
      </c>
      <c r="C194" s="17" t="s">
        <v>133</v>
      </c>
      <c r="D194" s="17" t="s">
        <v>44</v>
      </c>
      <c r="E194" s="18" t="s">
        <v>2220</v>
      </c>
      <c r="F194" s="17"/>
      <c r="G194" s="17"/>
      <c r="H194" s="17"/>
      <c r="I194" s="18" t="s">
        <v>134</v>
      </c>
    </row>
    <row r="195" spans="2:9" hidden="1" x14ac:dyDescent="0.25">
      <c r="B195" s="17">
        <v>6</v>
      </c>
      <c r="C195" s="17" t="s">
        <v>600</v>
      </c>
      <c r="D195" s="17" t="s">
        <v>30</v>
      </c>
      <c r="E195" s="18" t="s">
        <v>2221</v>
      </c>
      <c r="F195" s="17"/>
      <c r="G195" s="17"/>
      <c r="H195" s="17"/>
      <c r="I195" s="18" t="s">
        <v>601</v>
      </c>
    </row>
    <row r="196" spans="2:9" hidden="1" x14ac:dyDescent="0.25">
      <c r="B196" s="17">
        <v>6</v>
      </c>
      <c r="C196" s="17" t="s">
        <v>602</v>
      </c>
      <c r="D196" s="17" t="s">
        <v>30</v>
      </c>
      <c r="E196" s="18" t="s">
        <v>2222</v>
      </c>
      <c r="F196" s="17"/>
      <c r="G196" s="17"/>
      <c r="H196" s="17"/>
      <c r="I196" s="18" t="s">
        <v>603</v>
      </c>
    </row>
    <row r="197" spans="2:9" hidden="1" x14ac:dyDescent="0.25">
      <c r="B197" s="17">
        <v>5</v>
      </c>
      <c r="C197" s="17" t="s">
        <v>604</v>
      </c>
      <c r="D197" s="17" t="s">
        <v>30</v>
      </c>
      <c r="E197" s="18" t="s">
        <v>2223</v>
      </c>
      <c r="F197" s="17"/>
      <c r="G197" s="17"/>
      <c r="H197" s="17"/>
      <c r="I197" s="18" t="s">
        <v>605</v>
      </c>
    </row>
    <row r="198" spans="2:9" hidden="1" x14ac:dyDescent="0.25">
      <c r="B198" s="17">
        <v>6</v>
      </c>
      <c r="C198" s="17" t="s">
        <v>606</v>
      </c>
      <c r="D198" s="17" t="s">
        <v>30</v>
      </c>
      <c r="E198" s="18" t="s">
        <v>2224</v>
      </c>
      <c r="F198" s="17"/>
      <c r="G198" s="17"/>
      <c r="H198" s="17"/>
      <c r="I198" s="18" t="s">
        <v>607</v>
      </c>
    </row>
    <row r="199" spans="2:9" hidden="1" x14ac:dyDescent="0.25">
      <c r="B199" s="17">
        <v>6</v>
      </c>
      <c r="C199" s="17" t="s">
        <v>608</v>
      </c>
      <c r="D199" s="17" t="s">
        <v>43</v>
      </c>
      <c r="E199" s="18" t="s">
        <v>2225</v>
      </c>
      <c r="F199" s="17"/>
      <c r="G199" s="17"/>
      <c r="H199" s="17"/>
      <c r="I199" s="18" t="s">
        <v>609</v>
      </c>
    </row>
    <row r="200" spans="2:9" hidden="1" x14ac:dyDescent="0.25">
      <c r="B200" s="17">
        <v>6</v>
      </c>
      <c r="C200" s="17" t="s">
        <v>610</v>
      </c>
      <c r="D200" s="17" t="s">
        <v>30</v>
      </c>
      <c r="E200" s="18" t="s">
        <v>2226</v>
      </c>
      <c r="F200" s="17"/>
      <c r="G200" s="17"/>
      <c r="H200" s="17"/>
      <c r="I200" s="18" t="s">
        <v>611</v>
      </c>
    </row>
    <row r="201" spans="2:9" hidden="1" x14ac:dyDescent="0.25">
      <c r="B201" s="17">
        <v>5</v>
      </c>
      <c r="C201" s="17" t="s">
        <v>612</v>
      </c>
      <c r="D201" s="17" t="s">
        <v>40</v>
      </c>
      <c r="E201" s="18" t="s">
        <v>2227</v>
      </c>
      <c r="F201" s="17"/>
      <c r="G201" s="17"/>
      <c r="H201" s="17"/>
      <c r="I201" s="18" t="s">
        <v>613</v>
      </c>
    </row>
    <row r="202" spans="2:9" hidden="1" x14ac:dyDescent="0.25">
      <c r="B202" s="17">
        <v>6</v>
      </c>
      <c r="C202" s="17" t="s">
        <v>606</v>
      </c>
      <c r="D202" s="17" t="s">
        <v>30</v>
      </c>
      <c r="E202" s="18" t="s">
        <v>2224</v>
      </c>
      <c r="F202" s="17"/>
      <c r="G202" s="17"/>
      <c r="H202" s="17"/>
      <c r="I202" s="18" t="s">
        <v>607</v>
      </c>
    </row>
    <row r="203" spans="2:9" hidden="1" x14ac:dyDescent="0.25">
      <c r="B203" s="17">
        <v>6</v>
      </c>
      <c r="C203" s="17" t="s">
        <v>614</v>
      </c>
      <c r="D203" s="17" t="s">
        <v>40</v>
      </c>
      <c r="E203" s="18" t="s">
        <v>2228</v>
      </c>
      <c r="F203" s="17"/>
      <c r="G203" s="17"/>
      <c r="H203" s="17"/>
      <c r="I203" s="18" t="s">
        <v>615</v>
      </c>
    </row>
    <row r="204" spans="2:9" hidden="1" x14ac:dyDescent="0.25">
      <c r="B204" s="17">
        <v>6</v>
      </c>
      <c r="C204" s="17" t="s">
        <v>610</v>
      </c>
      <c r="D204" s="17" t="s">
        <v>30</v>
      </c>
      <c r="E204" s="18" t="s">
        <v>2226</v>
      </c>
      <c r="F204" s="17"/>
      <c r="G204" s="17"/>
      <c r="H204" s="17"/>
      <c r="I204" s="18" t="s">
        <v>611</v>
      </c>
    </row>
    <row r="205" spans="2:9" hidden="1" x14ac:dyDescent="0.25">
      <c r="B205" s="17">
        <v>4</v>
      </c>
      <c r="C205" s="17" t="s">
        <v>616</v>
      </c>
      <c r="D205" s="17" t="s">
        <v>30</v>
      </c>
      <c r="E205" s="18" t="s">
        <v>2229</v>
      </c>
      <c r="F205" s="17"/>
      <c r="G205" s="17"/>
      <c r="H205" s="17"/>
      <c r="I205" s="18" t="s">
        <v>617</v>
      </c>
    </row>
    <row r="206" spans="2:9" hidden="1" x14ac:dyDescent="0.25">
      <c r="B206" s="17">
        <v>4</v>
      </c>
      <c r="C206" s="17" t="s">
        <v>618</v>
      </c>
      <c r="D206" s="17" t="s">
        <v>30</v>
      </c>
      <c r="E206" s="18" t="s">
        <v>2230</v>
      </c>
      <c r="F206" s="17"/>
      <c r="G206" s="17"/>
      <c r="H206" s="17"/>
      <c r="I206" s="18" t="s">
        <v>619</v>
      </c>
    </row>
    <row r="207" spans="2:9" hidden="1" x14ac:dyDescent="0.25">
      <c r="B207" s="17">
        <v>4</v>
      </c>
      <c r="C207" s="17" t="s">
        <v>620</v>
      </c>
      <c r="D207" s="17" t="s">
        <v>40</v>
      </c>
      <c r="E207" s="18" t="s">
        <v>2231</v>
      </c>
      <c r="F207" s="17"/>
      <c r="G207" s="17"/>
      <c r="H207" s="17"/>
      <c r="I207" s="18" t="s">
        <v>544</v>
      </c>
    </row>
    <row r="208" spans="2:9" hidden="1" x14ac:dyDescent="0.25">
      <c r="B208" s="17">
        <v>4</v>
      </c>
      <c r="C208" s="17" t="s">
        <v>621</v>
      </c>
      <c r="D208" s="17" t="s">
        <v>40</v>
      </c>
      <c r="E208" s="18" t="s">
        <v>2232</v>
      </c>
      <c r="F208" s="17"/>
      <c r="G208" s="17"/>
      <c r="H208" s="17"/>
      <c r="I208" s="18" t="s">
        <v>622</v>
      </c>
    </row>
    <row r="209" spans="2:9" hidden="1" x14ac:dyDescent="0.25">
      <c r="B209" s="17">
        <v>4</v>
      </c>
      <c r="C209" s="17" t="s">
        <v>623</v>
      </c>
      <c r="D209" s="17" t="s">
        <v>30</v>
      </c>
      <c r="E209" s="18" t="s">
        <v>2233</v>
      </c>
      <c r="F209" s="17"/>
      <c r="G209" s="17"/>
      <c r="H209" s="17"/>
      <c r="I209" s="18" t="s">
        <v>120</v>
      </c>
    </row>
    <row r="210" spans="2:9" hidden="1" x14ac:dyDescent="0.25">
      <c r="B210" s="17">
        <v>4</v>
      </c>
      <c r="C210" s="17" t="s">
        <v>624</v>
      </c>
      <c r="D210" s="17" t="s">
        <v>30</v>
      </c>
      <c r="E210" s="18" t="s">
        <v>2234</v>
      </c>
      <c r="F210" s="17"/>
      <c r="G210" s="17"/>
      <c r="H210" s="17"/>
      <c r="I210" s="18" t="s">
        <v>625</v>
      </c>
    </row>
    <row r="211" spans="2:9" hidden="1" x14ac:dyDescent="0.25">
      <c r="B211" s="17">
        <v>4</v>
      </c>
      <c r="C211" s="17" t="s">
        <v>626</v>
      </c>
      <c r="D211" s="17" t="s">
        <v>30</v>
      </c>
      <c r="E211" s="18" t="s">
        <v>2235</v>
      </c>
      <c r="F211" s="17"/>
      <c r="G211" s="17"/>
      <c r="H211" s="17"/>
      <c r="I211" s="18" t="s">
        <v>627</v>
      </c>
    </row>
    <row r="212" spans="2:9" hidden="1" x14ac:dyDescent="0.25">
      <c r="B212" s="17">
        <v>4</v>
      </c>
      <c r="C212" s="17" t="s">
        <v>628</v>
      </c>
      <c r="D212" s="17" t="s">
        <v>30</v>
      </c>
      <c r="E212" s="18" t="s">
        <v>2236</v>
      </c>
      <c r="F212" s="17"/>
      <c r="G212" s="17"/>
      <c r="H212" s="17"/>
      <c r="I212" s="18" t="s">
        <v>629</v>
      </c>
    </row>
    <row r="213" spans="2:9" hidden="1" x14ac:dyDescent="0.25">
      <c r="B213" s="17">
        <v>4</v>
      </c>
      <c r="C213" s="17" t="s">
        <v>630</v>
      </c>
      <c r="D213" s="17" t="s">
        <v>30</v>
      </c>
      <c r="E213" s="18" t="s">
        <v>2237</v>
      </c>
      <c r="F213" s="17"/>
      <c r="G213" s="17"/>
      <c r="H213" s="17"/>
      <c r="I213" s="18" t="s">
        <v>631</v>
      </c>
    </row>
    <row r="214" spans="2:9" hidden="1" x14ac:dyDescent="0.25">
      <c r="B214" s="17">
        <v>5</v>
      </c>
      <c r="C214" s="17" t="s">
        <v>632</v>
      </c>
      <c r="D214" s="17" t="s">
        <v>42</v>
      </c>
      <c r="E214" s="18" t="s">
        <v>2238</v>
      </c>
      <c r="F214" s="17"/>
      <c r="G214" s="17"/>
      <c r="H214" s="17"/>
      <c r="I214" s="18" t="s">
        <v>633</v>
      </c>
    </row>
    <row r="215" spans="2:9" hidden="1" x14ac:dyDescent="0.25">
      <c r="B215" s="17">
        <v>5</v>
      </c>
      <c r="C215" s="17" t="s">
        <v>359</v>
      </c>
      <c r="D215" s="17" t="s">
        <v>30</v>
      </c>
      <c r="E215" s="18" t="s">
        <v>2193</v>
      </c>
      <c r="F215" s="17"/>
      <c r="G215" s="17"/>
      <c r="H215" s="17"/>
      <c r="I215" s="18" t="s">
        <v>360</v>
      </c>
    </row>
    <row r="216" spans="2:9" hidden="1" x14ac:dyDescent="0.25">
      <c r="B216" s="17">
        <v>5</v>
      </c>
      <c r="C216" s="17" t="s">
        <v>561</v>
      </c>
      <c r="D216" s="17" t="s">
        <v>30</v>
      </c>
      <c r="E216" s="18" t="s">
        <v>2194</v>
      </c>
      <c r="F216" s="17"/>
      <c r="G216" s="17"/>
      <c r="H216" s="17"/>
      <c r="I216" s="18" t="s">
        <v>562</v>
      </c>
    </row>
    <row r="217" spans="2:9" hidden="1" x14ac:dyDescent="0.25">
      <c r="B217" s="17">
        <v>4</v>
      </c>
      <c r="C217" s="17" t="s">
        <v>634</v>
      </c>
      <c r="D217" s="17" t="s">
        <v>40</v>
      </c>
      <c r="E217" s="18" t="s">
        <v>2239</v>
      </c>
      <c r="F217" s="17"/>
      <c r="G217" s="17"/>
      <c r="H217" s="17"/>
      <c r="I217" s="18" t="s">
        <v>635</v>
      </c>
    </row>
    <row r="218" spans="2:9" hidden="1" x14ac:dyDescent="0.25">
      <c r="B218" s="17">
        <v>5</v>
      </c>
      <c r="C218" s="17" t="s">
        <v>636</v>
      </c>
      <c r="D218" s="17" t="s">
        <v>42</v>
      </c>
      <c r="E218" s="18" t="s">
        <v>2240</v>
      </c>
      <c r="F218" s="17"/>
      <c r="G218" s="17"/>
      <c r="H218" s="17"/>
      <c r="I218" s="18" t="s">
        <v>637</v>
      </c>
    </row>
    <row r="219" spans="2:9" hidden="1" x14ac:dyDescent="0.25">
      <c r="B219" s="17">
        <v>5</v>
      </c>
      <c r="C219" s="17" t="s">
        <v>359</v>
      </c>
      <c r="D219" s="17" t="s">
        <v>30</v>
      </c>
      <c r="E219" s="18" t="s">
        <v>2193</v>
      </c>
      <c r="F219" s="17"/>
      <c r="G219" s="17"/>
      <c r="H219" s="17"/>
      <c r="I219" s="18" t="s">
        <v>360</v>
      </c>
    </row>
    <row r="220" spans="2:9" hidden="1" x14ac:dyDescent="0.25">
      <c r="B220" s="17">
        <v>5</v>
      </c>
      <c r="C220" s="17" t="s">
        <v>561</v>
      </c>
      <c r="D220" s="17" t="s">
        <v>30</v>
      </c>
      <c r="E220" s="18" t="s">
        <v>2194</v>
      </c>
      <c r="F220" s="17"/>
      <c r="G220" s="17"/>
      <c r="H220" s="17"/>
      <c r="I220" s="18" t="s">
        <v>562</v>
      </c>
    </row>
    <row r="221" spans="2:9" hidden="1" x14ac:dyDescent="0.25">
      <c r="B221" s="17">
        <v>4</v>
      </c>
      <c r="C221" s="17" t="s">
        <v>638</v>
      </c>
      <c r="D221" s="17" t="s">
        <v>30</v>
      </c>
      <c r="E221" s="18" t="s">
        <v>2241</v>
      </c>
      <c r="F221" s="17"/>
      <c r="G221" s="17"/>
      <c r="H221" s="17"/>
      <c r="I221" s="18" t="s">
        <v>639</v>
      </c>
    </row>
    <row r="222" spans="2:9" hidden="1" x14ac:dyDescent="0.25">
      <c r="B222" s="17">
        <v>4</v>
      </c>
      <c r="C222" s="17" t="s">
        <v>55</v>
      </c>
      <c r="D222" s="17" t="s">
        <v>40</v>
      </c>
      <c r="E222" s="18" t="s">
        <v>2109</v>
      </c>
      <c r="F222" s="17"/>
      <c r="G222" s="17"/>
      <c r="H222" s="17"/>
      <c r="I222" s="18" t="s">
        <v>56</v>
      </c>
    </row>
    <row r="223" spans="2:9" hidden="1" x14ac:dyDescent="0.25">
      <c r="B223" s="17">
        <v>4</v>
      </c>
      <c r="C223" s="17" t="s">
        <v>640</v>
      </c>
      <c r="D223" s="17" t="s">
        <v>40</v>
      </c>
      <c r="E223" s="18" t="s">
        <v>2242</v>
      </c>
      <c r="F223" s="17"/>
      <c r="G223" s="17"/>
      <c r="H223" s="17"/>
      <c r="I223" s="18" t="s">
        <v>431</v>
      </c>
    </row>
    <row r="224" spans="2:9" hidden="1" x14ac:dyDescent="0.25">
      <c r="B224" s="17">
        <v>4</v>
      </c>
      <c r="C224" s="17" t="s">
        <v>641</v>
      </c>
      <c r="D224" s="17" t="s">
        <v>42</v>
      </c>
      <c r="E224" s="18" t="s">
        <v>2243</v>
      </c>
      <c r="F224" s="17"/>
      <c r="G224" s="17"/>
      <c r="H224" s="17"/>
      <c r="I224" s="18" t="s">
        <v>642</v>
      </c>
    </row>
    <row r="225" spans="2:9" hidden="1" x14ac:dyDescent="0.25">
      <c r="B225" s="17">
        <v>4</v>
      </c>
      <c r="C225" s="17" t="s">
        <v>643</v>
      </c>
      <c r="D225" s="17" t="s">
        <v>40</v>
      </c>
      <c r="E225" s="18" t="s">
        <v>2244</v>
      </c>
      <c r="F225" s="17"/>
      <c r="G225" s="17"/>
      <c r="H225" s="17"/>
      <c r="I225" s="18" t="s">
        <v>644</v>
      </c>
    </row>
    <row r="226" spans="2:9" hidden="1" x14ac:dyDescent="0.25">
      <c r="B226" s="17">
        <v>3</v>
      </c>
      <c r="C226" s="17" t="s">
        <v>645</v>
      </c>
      <c r="D226" s="17" t="s">
        <v>30</v>
      </c>
      <c r="E226" s="18" t="s">
        <v>2245</v>
      </c>
      <c r="F226" s="17"/>
      <c r="G226" s="17"/>
      <c r="H226" s="17"/>
      <c r="I226" s="18" t="s">
        <v>646</v>
      </c>
    </row>
    <row r="227" spans="2:9" hidden="1" x14ac:dyDescent="0.25">
      <c r="B227" s="17">
        <v>4</v>
      </c>
      <c r="C227" s="17" t="s">
        <v>647</v>
      </c>
      <c r="D227" s="17" t="s">
        <v>40</v>
      </c>
      <c r="E227" s="18" t="s">
        <v>2246</v>
      </c>
      <c r="F227" s="17"/>
      <c r="G227" s="17"/>
      <c r="H227" s="17"/>
      <c r="I227" s="18" t="s">
        <v>648</v>
      </c>
    </row>
    <row r="228" spans="2:9" hidden="1" x14ac:dyDescent="0.25">
      <c r="B228" s="17">
        <v>5</v>
      </c>
      <c r="C228" s="17" t="s">
        <v>649</v>
      </c>
      <c r="D228" s="17" t="s">
        <v>30</v>
      </c>
      <c r="E228" s="18" t="s">
        <v>2247</v>
      </c>
      <c r="F228" s="17"/>
      <c r="G228" s="17"/>
      <c r="H228" s="17"/>
      <c r="I228" s="18" t="s">
        <v>650</v>
      </c>
    </row>
    <row r="229" spans="2:9" hidden="1" x14ac:dyDescent="0.25">
      <c r="B229" s="17">
        <v>5</v>
      </c>
      <c r="C229" s="17" t="s">
        <v>651</v>
      </c>
      <c r="D229" s="17" t="s">
        <v>30</v>
      </c>
      <c r="E229" s="18" t="s">
        <v>2248</v>
      </c>
      <c r="F229" s="17"/>
      <c r="G229" s="17"/>
      <c r="H229" s="17"/>
      <c r="I229" s="18" t="s">
        <v>54</v>
      </c>
    </row>
    <row r="230" spans="2:9" hidden="1" x14ac:dyDescent="0.25">
      <c r="B230" s="17">
        <v>4</v>
      </c>
      <c r="C230" s="17" t="s">
        <v>652</v>
      </c>
      <c r="D230" s="17" t="s">
        <v>30</v>
      </c>
      <c r="E230" s="18" t="s">
        <v>2249</v>
      </c>
      <c r="F230" s="17"/>
      <c r="G230" s="17"/>
      <c r="H230" s="17"/>
      <c r="I230" s="18" t="s">
        <v>653</v>
      </c>
    </row>
    <row r="231" spans="2:9" hidden="1" x14ac:dyDescent="0.25">
      <c r="B231" s="17">
        <v>4</v>
      </c>
      <c r="C231" s="17" t="s">
        <v>654</v>
      </c>
      <c r="D231" s="17" t="s">
        <v>40</v>
      </c>
      <c r="E231" s="18" t="s">
        <v>2250</v>
      </c>
      <c r="F231" s="17"/>
      <c r="G231" s="17"/>
      <c r="H231" s="17"/>
      <c r="I231" s="18" t="s">
        <v>655</v>
      </c>
    </row>
    <row r="232" spans="2:9" hidden="1" x14ac:dyDescent="0.25">
      <c r="B232" s="17">
        <v>4</v>
      </c>
      <c r="C232" s="17" t="s">
        <v>50</v>
      </c>
      <c r="D232" s="17" t="s">
        <v>40</v>
      </c>
      <c r="E232" s="18" t="s">
        <v>2251</v>
      </c>
      <c r="F232" s="17"/>
      <c r="G232" s="17"/>
      <c r="H232" s="17"/>
      <c r="I232" s="18" t="s">
        <v>51</v>
      </c>
    </row>
    <row r="233" spans="2:9" hidden="1" x14ac:dyDescent="0.25">
      <c r="B233" s="17">
        <v>4</v>
      </c>
      <c r="C233" s="17" t="s">
        <v>656</v>
      </c>
      <c r="D233" s="17" t="s">
        <v>30</v>
      </c>
      <c r="E233" s="18" t="s">
        <v>2252</v>
      </c>
      <c r="F233" s="17"/>
      <c r="G233" s="17"/>
      <c r="H233" s="17"/>
      <c r="I233" s="18" t="s">
        <v>73</v>
      </c>
    </row>
    <row r="234" spans="2:9" hidden="1" x14ac:dyDescent="0.25">
      <c r="B234" s="17">
        <v>4</v>
      </c>
      <c r="C234" s="17" t="s">
        <v>72</v>
      </c>
      <c r="D234" s="17" t="s">
        <v>30</v>
      </c>
      <c r="E234" s="18" t="s">
        <v>2253</v>
      </c>
      <c r="F234" s="17"/>
      <c r="G234" s="17"/>
      <c r="H234" s="17"/>
      <c r="I234" s="18" t="s">
        <v>73</v>
      </c>
    </row>
    <row r="235" spans="2:9" hidden="1" x14ac:dyDescent="0.25">
      <c r="B235" s="17">
        <v>5</v>
      </c>
      <c r="C235" s="17" t="s">
        <v>657</v>
      </c>
      <c r="D235" s="17" t="s">
        <v>30</v>
      </c>
      <c r="E235" s="18" t="s">
        <v>2254</v>
      </c>
      <c r="F235" s="17"/>
      <c r="G235" s="17"/>
      <c r="H235" s="17"/>
      <c r="I235" s="18" t="s">
        <v>658</v>
      </c>
    </row>
    <row r="236" spans="2:9" hidden="1" x14ac:dyDescent="0.25">
      <c r="B236" s="17">
        <v>5</v>
      </c>
      <c r="C236" s="17" t="s">
        <v>659</v>
      </c>
      <c r="D236" s="17" t="s">
        <v>40</v>
      </c>
      <c r="E236" s="18" t="s">
        <v>2255</v>
      </c>
      <c r="F236" s="17"/>
      <c r="G236" s="17"/>
      <c r="H236" s="17"/>
      <c r="I236" s="18" t="s">
        <v>660</v>
      </c>
    </row>
    <row r="237" spans="2:9" hidden="1" x14ac:dyDescent="0.25">
      <c r="B237" s="17">
        <v>4</v>
      </c>
      <c r="C237" s="17" t="s">
        <v>72</v>
      </c>
      <c r="D237" s="17" t="s">
        <v>30</v>
      </c>
      <c r="E237" s="18" t="s">
        <v>2253</v>
      </c>
      <c r="F237" s="17"/>
      <c r="G237" s="17"/>
      <c r="H237" s="17"/>
      <c r="I237" s="18" t="s">
        <v>73</v>
      </c>
    </row>
    <row r="238" spans="2:9" hidden="1" x14ac:dyDescent="0.25">
      <c r="B238" s="17">
        <v>4</v>
      </c>
      <c r="C238" s="17" t="s">
        <v>72</v>
      </c>
      <c r="D238" s="17" t="s">
        <v>30</v>
      </c>
      <c r="E238" s="18" t="s">
        <v>2253</v>
      </c>
      <c r="F238" s="17"/>
      <c r="G238" s="17"/>
      <c r="H238" s="17"/>
      <c r="I238" s="18" t="s">
        <v>73</v>
      </c>
    </row>
    <row r="239" spans="2:9" hidden="1" x14ac:dyDescent="0.25">
      <c r="B239" s="17">
        <v>4</v>
      </c>
      <c r="C239" s="17" t="s">
        <v>661</v>
      </c>
      <c r="D239" s="17" t="s">
        <v>30</v>
      </c>
      <c r="E239" s="18" t="s">
        <v>2256</v>
      </c>
      <c r="F239" s="17"/>
      <c r="G239" s="17"/>
      <c r="H239" s="17"/>
      <c r="I239" s="18" t="s">
        <v>73</v>
      </c>
    </row>
    <row r="240" spans="2:9" hidden="1" x14ac:dyDescent="0.25">
      <c r="B240" s="17">
        <v>4</v>
      </c>
      <c r="C240" s="17" t="s">
        <v>662</v>
      </c>
      <c r="D240" s="17" t="s">
        <v>30</v>
      </c>
      <c r="E240" s="18" t="s">
        <v>2257</v>
      </c>
      <c r="F240" s="17"/>
      <c r="G240" s="17"/>
      <c r="H240" s="17"/>
      <c r="I240" s="18" t="s">
        <v>73</v>
      </c>
    </row>
    <row r="241" spans="2:9" hidden="1" x14ac:dyDescent="0.25">
      <c r="B241" s="17">
        <v>4</v>
      </c>
      <c r="C241" s="17" t="s">
        <v>663</v>
      </c>
      <c r="D241" s="17" t="s">
        <v>30</v>
      </c>
      <c r="E241" s="18" t="s">
        <v>2258</v>
      </c>
      <c r="F241" s="17"/>
      <c r="G241" s="17"/>
      <c r="H241" s="17"/>
      <c r="I241" s="18" t="s">
        <v>53</v>
      </c>
    </row>
    <row r="242" spans="2:9" hidden="1" x14ac:dyDescent="0.25">
      <c r="B242" s="17">
        <v>4</v>
      </c>
      <c r="C242" s="17" t="s">
        <v>664</v>
      </c>
      <c r="D242" s="17" t="s">
        <v>30</v>
      </c>
      <c r="E242" s="18" t="s">
        <v>2259</v>
      </c>
      <c r="F242" s="17"/>
      <c r="G242" s="17"/>
      <c r="H242" s="17"/>
      <c r="I242" s="18" t="s">
        <v>53</v>
      </c>
    </row>
    <row r="243" spans="2:9" hidden="1" x14ac:dyDescent="0.25">
      <c r="B243" s="17">
        <v>4</v>
      </c>
      <c r="C243" s="17" t="s">
        <v>665</v>
      </c>
      <c r="D243" s="17" t="s">
        <v>42</v>
      </c>
      <c r="E243" s="18" t="s">
        <v>2260</v>
      </c>
      <c r="F243" s="17"/>
      <c r="G243" s="17"/>
      <c r="H243" s="17"/>
      <c r="I243" s="18" t="s">
        <v>53</v>
      </c>
    </row>
    <row r="244" spans="2:9" hidden="1" x14ac:dyDescent="0.25">
      <c r="B244" s="17">
        <v>4</v>
      </c>
      <c r="C244" s="17" t="s">
        <v>666</v>
      </c>
      <c r="D244" s="17" t="s">
        <v>43</v>
      </c>
      <c r="E244" s="18" t="s">
        <v>2261</v>
      </c>
      <c r="F244" s="17"/>
      <c r="G244" s="17"/>
      <c r="H244" s="17"/>
      <c r="I244" s="18" t="s">
        <v>53</v>
      </c>
    </row>
    <row r="245" spans="2:9" hidden="1" x14ac:dyDescent="0.25">
      <c r="B245" s="17">
        <v>4</v>
      </c>
      <c r="C245" s="17" t="s">
        <v>667</v>
      </c>
      <c r="D245" s="17" t="s">
        <v>30</v>
      </c>
      <c r="E245" s="18" t="s">
        <v>2262</v>
      </c>
      <c r="F245" s="17"/>
      <c r="G245" s="17"/>
      <c r="H245" s="17"/>
      <c r="I245" s="18" t="s">
        <v>53</v>
      </c>
    </row>
    <row r="246" spans="2:9" hidden="1" x14ac:dyDescent="0.25">
      <c r="B246" s="17">
        <v>4</v>
      </c>
      <c r="C246" s="17" t="s">
        <v>668</v>
      </c>
      <c r="D246" s="17" t="s">
        <v>30</v>
      </c>
      <c r="E246" s="18" t="s">
        <v>2263</v>
      </c>
      <c r="F246" s="17"/>
      <c r="G246" s="17"/>
      <c r="H246" s="17"/>
      <c r="I246" s="18" t="s">
        <v>53</v>
      </c>
    </row>
    <row r="247" spans="2:9" hidden="1" x14ac:dyDescent="0.25">
      <c r="B247" s="17">
        <v>4</v>
      </c>
      <c r="C247" s="17" t="s">
        <v>669</v>
      </c>
      <c r="D247" s="17" t="s">
        <v>30</v>
      </c>
      <c r="E247" s="18" t="s">
        <v>2264</v>
      </c>
      <c r="F247" s="17"/>
      <c r="G247" s="17"/>
      <c r="H247" s="17"/>
      <c r="I247" s="18" t="s">
        <v>53</v>
      </c>
    </row>
    <row r="248" spans="2:9" hidden="1" x14ac:dyDescent="0.25">
      <c r="B248" s="17">
        <v>4</v>
      </c>
      <c r="C248" s="17" t="s">
        <v>670</v>
      </c>
      <c r="D248" s="17" t="s">
        <v>30</v>
      </c>
      <c r="E248" s="18" t="s">
        <v>2265</v>
      </c>
      <c r="F248" s="17"/>
      <c r="G248" s="17"/>
      <c r="H248" s="17"/>
      <c r="I248" s="18" t="s">
        <v>53</v>
      </c>
    </row>
    <row r="249" spans="2:9" hidden="1" x14ac:dyDescent="0.25">
      <c r="B249" s="17">
        <v>4</v>
      </c>
      <c r="C249" s="17" t="s">
        <v>671</v>
      </c>
      <c r="D249" s="17" t="s">
        <v>30</v>
      </c>
      <c r="E249" s="18" t="s">
        <v>2266</v>
      </c>
      <c r="F249" s="17"/>
      <c r="G249" s="17"/>
      <c r="H249" s="17"/>
      <c r="I249" s="18" t="s">
        <v>53</v>
      </c>
    </row>
    <row r="250" spans="2:9" hidden="1" x14ac:dyDescent="0.25">
      <c r="B250" s="17">
        <v>4</v>
      </c>
      <c r="C250" s="17" t="s">
        <v>672</v>
      </c>
      <c r="D250" s="17" t="s">
        <v>30</v>
      </c>
      <c r="E250" s="18" t="s">
        <v>2267</v>
      </c>
      <c r="F250" s="17"/>
      <c r="G250" s="17"/>
      <c r="H250" s="17"/>
      <c r="I250" s="18" t="s">
        <v>53</v>
      </c>
    </row>
    <row r="251" spans="2:9" hidden="1" x14ac:dyDescent="0.25">
      <c r="B251" s="17">
        <v>4</v>
      </c>
      <c r="C251" s="17" t="s">
        <v>673</v>
      </c>
      <c r="D251" s="17" t="s">
        <v>30</v>
      </c>
      <c r="E251" s="18" t="s">
        <v>2268</v>
      </c>
      <c r="F251" s="17"/>
      <c r="G251" s="17"/>
      <c r="H251" s="17"/>
      <c r="I251" s="18" t="s">
        <v>53</v>
      </c>
    </row>
    <row r="252" spans="2:9" hidden="1" x14ac:dyDescent="0.25">
      <c r="B252" s="17">
        <v>4</v>
      </c>
      <c r="C252" s="17" t="s">
        <v>674</v>
      </c>
      <c r="D252" s="17" t="s">
        <v>30</v>
      </c>
      <c r="E252" s="18" t="s">
        <v>2269</v>
      </c>
      <c r="F252" s="17"/>
      <c r="G252" s="17"/>
      <c r="H252" s="17"/>
      <c r="I252" s="18" t="s">
        <v>53</v>
      </c>
    </row>
    <row r="253" spans="2:9" hidden="1" x14ac:dyDescent="0.25">
      <c r="B253" s="17">
        <v>4</v>
      </c>
      <c r="C253" s="17" t="s">
        <v>675</v>
      </c>
      <c r="D253" s="17" t="s">
        <v>30</v>
      </c>
      <c r="E253" s="18" t="s">
        <v>2270</v>
      </c>
      <c r="F253" s="17"/>
      <c r="G253" s="17"/>
      <c r="H253" s="17"/>
      <c r="I253" s="18" t="s">
        <v>53</v>
      </c>
    </row>
    <row r="254" spans="2:9" hidden="1" x14ac:dyDescent="0.25">
      <c r="B254" s="17">
        <v>4</v>
      </c>
      <c r="C254" s="17" t="s">
        <v>676</v>
      </c>
      <c r="D254" s="17" t="s">
        <v>40</v>
      </c>
      <c r="E254" s="18" t="s">
        <v>2271</v>
      </c>
      <c r="F254" s="17"/>
      <c r="G254" s="17"/>
      <c r="H254" s="17"/>
      <c r="I254" s="18" t="s">
        <v>52</v>
      </c>
    </row>
    <row r="255" spans="2:9" hidden="1" x14ac:dyDescent="0.25">
      <c r="B255" s="17">
        <v>4</v>
      </c>
      <c r="C255" s="17" t="s">
        <v>677</v>
      </c>
      <c r="D255" s="17" t="s">
        <v>30</v>
      </c>
      <c r="E255" s="18" t="s">
        <v>2272</v>
      </c>
      <c r="F255" s="17"/>
      <c r="G255" s="17"/>
      <c r="H255" s="17"/>
      <c r="I255" s="18" t="s">
        <v>53</v>
      </c>
    </row>
    <row r="256" spans="2:9" hidden="1" x14ac:dyDescent="0.25">
      <c r="B256" s="17">
        <v>4</v>
      </c>
      <c r="C256" s="17" t="s">
        <v>678</v>
      </c>
      <c r="D256" s="17" t="s">
        <v>30</v>
      </c>
      <c r="E256" s="18" t="s">
        <v>2273</v>
      </c>
      <c r="F256" s="17"/>
      <c r="G256" s="17"/>
      <c r="H256" s="17"/>
      <c r="I256" s="18" t="s">
        <v>53</v>
      </c>
    </row>
    <row r="257" spans="2:9" hidden="1" x14ac:dyDescent="0.25">
      <c r="B257" s="17">
        <v>4</v>
      </c>
      <c r="C257" s="17" t="s">
        <v>679</v>
      </c>
      <c r="D257" s="17" t="s">
        <v>30</v>
      </c>
      <c r="E257" s="18" t="s">
        <v>2274</v>
      </c>
      <c r="F257" s="17"/>
      <c r="G257" s="17"/>
      <c r="H257" s="17"/>
      <c r="I257" s="18" t="s">
        <v>53</v>
      </c>
    </row>
    <row r="258" spans="2:9" hidden="1" x14ac:dyDescent="0.25">
      <c r="B258" s="17">
        <v>4</v>
      </c>
      <c r="C258" s="17" t="s">
        <v>680</v>
      </c>
      <c r="D258" s="17" t="s">
        <v>43</v>
      </c>
      <c r="E258" s="18" t="s">
        <v>2275</v>
      </c>
      <c r="F258" s="17"/>
      <c r="G258" s="17"/>
      <c r="H258" s="17"/>
      <c r="I258" s="18" t="s">
        <v>53</v>
      </c>
    </row>
    <row r="259" spans="2:9" hidden="1" x14ac:dyDescent="0.25">
      <c r="B259" s="17">
        <v>4</v>
      </c>
      <c r="C259" s="17" t="s">
        <v>681</v>
      </c>
      <c r="D259" s="17" t="s">
        <v>30</v>
      </c>
      <c r="E259" s="18" t="s">
        <v>2276</v>
      </c>
      <c r="F259" s="17"/>
      <c r="G259" s="17"/>
      <c r="H259" s="17"/>
      <c r="I259" s="18" t="s">
        <v>682</v>
      </c>
    </row>
    <row r="260" spans="2:9" hidden="1" x14ac:dyDescent="0.25">
      <c r="B260" s="17">
        <v>4</v>
      </c>
      <c r="C260" s="17" t="s">
        <v>683</v>
      </c>
      <c r="D260" s="17" t="s">
        <v>30</v>
      </c>
      <c r="E260" s="18" t="s">
        <v>2277</v>
      </c>
      <c r="F260" s="17"/>
      <c r="G260" s="17"/>
      <c r="H260" s="17"/>
      <c r="I260" s="18" t="s">
        <v>682</v>
      </c>
    </row>
    <row r="261" spans="2:9" hidden="1" x14ac:dyDescent="0.25">
      <c r="B261" s="17">
        <v>4</v>
      </c>
      <c r="C261" s="17" t="s">
        <v>684</v>
      </c>
      <c r="D261" s="17" t="s">
        <v>30</v>
      </c>
      <c r="E261" s="18" t="s">
        <v>2278</v>
      </c>
      <c r="F261" s="17"/>
      <c r="G261" s="17"/>
      <c r="H261" s="17"/>
      <c r="I261" s="18" t="s">
        <v>685</v>
      </c>
    </row>
    <row r="262" spans="2:9" hidden="1" x14ac:dyDescent="0.25">
      <c r="B262" s="17">
        <v>4</v>
      </c>
      <c r="C262" s="17" t="s">
        <v>686</v>
      </c>
      <c r="D262" s="17" t="s">
        <v>30</v>
      </c>
      <c r="E262" s="18" t="s">
        <v>2279</v>
      </c>
      <c r="F262" s="17"/>
      <c r="G262" s="17"/>
      <c r="H262" s="17"/>
      <c r="I262" s="18" t="s">
        <v>687</v>
      </c>
    </row>
    <row r="263" spans="2:9" hidden="1" x14ac:dyDescent="0.25">
      <c r="B263" s="17">
        <v>4</v>
      </c>
      <c r="C263" s="17" t="s">
        <v>688</v>
      </c>
      <c r="D263" s="17" t="s">
        <v>30</v>
      </c>
      <c r="E263" s="18" t="s">
        <v>2280</v>
      </c>
      <c r="F263" s="17"/>
      <c r="G263" s="17"/>
      <c r="H263" s="17"/>
      <c r="I263" s="18" t="s">
        <v>689</v>
      </c>
    </row>
    <row r="264" spans="2:9" hidden="1" x14ac:dyDescent="0.25">
      <c r="B264" s="17">
        <v>4</v>
      </c>
      <c r="C264" s="17" t="s">
        <v>690</v>
      </c>
      <c r="D264" s="17" t="s">
        <v>30</v>
      </c>
      <c r="E264" s="18" t="s">
        <v>2281</v>
      </c>
      <c r="F264" s="17"/>
      <c r="G264" s="17"/>
      <c r="H264" s="17"/>
      <c r="I264" s="18" t="s">
        <v>691</v>
      </c>
    </row>
    <row r="265" spans="2:9" hidden="1" x14ac:dyDescent="0.25">
      <c r="B265" s="17">
        <v>5</v>
      </c>
      <c r="C265" s="17" t="s">
        <v>692</v>
      </c>
      <c r="D265" s="17" t="s">
        <v>30</v>
      </c>
      <c r="E265" s="18" t="s">
        <v>2282</v>
      </c>
      <c r="F265" s="17"/>
      <c r="G265" s="17"/>
      <c r="H265" s="17"/>
      <c r="I265" s="18" t="s">
        <v>693</v>
      </c>
    </row>
    <row r="266" spans="2:9" hidden="1" x14ac:dyDescent="0.25">
      <c r="B266" s="17">
        <v>5</v>
      </c>
      <c r="C266" s="17" t="s">
        <v>694</v>
      </c>
      <c r="D266" s="17" t="s">
        <v>30</v>
      </c>
      <c r="E266" s="18" t="s">
        <v>2283</v>
      </c>
      <c r="F266" s="17"/>
      <c r="G266" s="17"/>
      <c r="H266" s="17"/>
      <c r="I266" s="18" t="s">
        <v>695</v>
      </c>
    </row>
    <row r="267" spans="2:9" hidden="1" x14ac:dyDescent="0.25">
      <c r="B267" s="17">
        <v>5</v>
      </c>
      <c r="C267" s="17" t="s">
        <v>359</v>
      </c>
      <c r="D267" s="17" t="s">
        <v>30</v>
      </c>
      <c r="E267" s="18" t="s">
        <v>2193</v>
      </c>
      <c r="F267" s="17"/>
      <c r="G267" s="17"/>
      <c r="H267" s="17"/>
      <c r="I267" s="18" t="s">
        <v>360</v>
      </c>
    </row>
    <row r="268" spans="2:9" hidden="1" x14ac:dyDescent="0.25">
      <c r="B268" s="17">
        <v>4</v>
      </c>
      <c r="C268" s="17" t="s">
        <v>77</v>
      </c>
      <c r="D268" s="17" t="s">
        <v>40</v>
      </c>
      <c r="E268" s="18" t="s">
        <v>2284</v>
      </c>
      <c r="F268" s="17"/>
      <c r="G268" s="17"/>
      <c r="H268" s="17"/>
      <c r="I268" s="18" t="s">
        <v>78</v>
      </c>
    </row>
    <row r="269" spans="2:9" hidden="1" x14ac:dyDescent="0.25">
      <c r="B269" s="17">
        <v>5</v>
      </c>
      <c r="C269" s="17" t="s">
        <v>79</v>
      </c>
      <c r="D269" s="17" t="s">
        <v>30</v>
      </c>
      <c r="E269" s="18" t="s">
        <v>2285</v>
      </c>
      <c r="F269" s="17"/>
      <c r="G269" s="17"/>
      <c r="H269" s="17"/>
      <c r="I269" s="18" t="s">
        <v>80</v>
      </c>
    </row>
    <row r="270" spans="2:9" hidden="1" x14ac:dyDescent="0.25">
      <c r="B270" s="17">
        <v>5</v>
      </c>
      <c r="C270" s="17" t="s">
        <v>81</v>
      </c>
      <c r="D270" s="17" t="s">
        <v>30</v>
      </c>
      <c r="E270" s="18" t="s">
        <v>166</v>
      </c>
      <c r="F270" s="17"/>
      <c r="G270" s="17"/>
      <c r="H270" s="17"/>
      <c r="I270" s="18" t="s">
        <v>82</v>
      </c>
    </row>
    <row r="271" spans="2:9" hidden="1" x14ac:dyDescent="0.25">
      <c r="B271" s="17">
        <v>5</v>
      </c>
      <c r="C271" s="17" t="s">
        <v>83</v>
      </c>
      <c r="D271" s="17" t="s">
        <v>30</v>
      </c>
      <c r="E271" s="18" t="s">
        <v>2286</v>
      </c>
      <c r="F271" s="17"/>
      <c r="G271" s="17"/>
      <c r="H271" s="17"/>
      <c r="I271" s="18" t="s">
        <v>84</v>
      </c>
    </row>
    <row r="272" spans="2:9" hidden="1" x14ac:dyDescent="0.25">
      <c r="B272" s="17">
        <v>5</v>
      </c>
      <c r="C272" s="17" t="s">
        <v>85</v>
      </c>
      <c r="D272" s="17" t="s">
        <v>30</v>
      </c>
      <c r="E272" s="18" t="s">
        <v>2287</v>
      </c>
      <c r="F272" s="17"/>
      <c r="G272" s="17"/>
      <c r="H272" s="17"/>
      <c r="I272" s="18" t="s">
        <v>86</v>
      </c>
    </row>
    <row r="273" spans="2:9" hidden="1" x14ac:dyDescent="0.25">
      <c r="B273" s="17">
        <v>4</v>
      </c>
      <c r="C273" s="17" t="s">
        <v>696</v>
      </c>
      <c r="D273" s="17" t="s">
        <v>30</v>
      </c>
      <c r="E273" s="18" t="s">
        <v>2288</v>
      </c>
      <c r="F273" s="17"/>
      <c r="G273" s="17"/>
      <c r="H273" s="17"/>
      <c r="I273" s="18" t="s">
        <v>697</v>
      </c>
    </row>
    <row r="274" spans="2:9" hidden="1" x14ac:dyDescent="0.25">
      <c r="B274" s="17">
        <v>5</v>
      </c>
      <c r="C274" s="17" t="s">
        <v>698</v>
      </c>
      <c r="D274" s="17" t="s">
        <v>30</v>
      </c>
      <c r="E274" s="18" t="s">
        <v>2289</v>
      </c>
      <c r="F274" s="17"/>
      <c r="G274" s="17"/>
      <c r="H274" s="17"/>
      <c r="I274" s="18" t="s">
        <v>699</v>
      </c>
    </row>
    <row r="275" spans="2:9" hidden="1" x14ac:dyDescent="0.25">
      <c r="B275" s="17">
        <v>5</v>
      </c>
      <c r="C275" s="17" t="s">
        <v>700</v>
      </c>
      <c r="D275" s="17" t="s">
        <v>30</v>
      </c>
      <c r="E275" s="18" t="s">
        <v>2290</v>
      </c>
      <c r="F275" s="17"/>
      <c r="G275" s="17"/>
      <c r="H275" s="17"/>
      <c r="I275" s="18" t="s">
        <v>701</v>
      </c>
    </row>
    <row r="276" spans="2:9" hidden="1" x14ac:dyDescent="0.25">
      <c r="B276" s="17">
        <v>5</v>
      </c>
      <c r="C276" s="17" t="s">
        <v>702</v>
      </c>
      <c r="D276" s="17" t="s">
        <v>30</v>
      </c>
      <c r="E276" s="18" t="s">
        <v>2291</v>
      </c>
      <c r="F276" s="17"/>
      <c r="G276" s="17"/>
      <c r="H276" s="17"/>
      <c r="I276" s="18" t="s">
        <v>703</v>
      </c>
    </row>
    <row r="277" spans="2:9" hidden="1" x14ac:dyDescent="0.25">
      <c r="B277" s="17">
        <v>5</v>
      </c>
      <c r="C277" s="17" t="s">
        <v>704</v>
      </c>
      <c r="D277" s="17" t="s">
        <v>30</v>
      </c>
      <c r="E277" s="18" t="s">
        <v>2292</v>
      </c>
      <c r="F277" s="17"/>
      <c r="G277" s="17"/>
      <c r="H277" s="17"/>
      <c r="I277" s="18" t="s">
        <v>705</v>
      </c>
    </row>
    <row r="278" spans="2:9" hidden="1" x14ac:dyDescent="0.25">
      <c r="B278" s="17">
        <v>4</v>
      </c>
      <c r="C278" s="17" t="s">
        <v>706</v>
      </c>
      <c r="D278" s="17" t="s">
        <v>30</v>
      </c>
      <c r="E278" s="18" t="s">
        <v>2293</v>
      </c>
      <c r="F278" s="17"/>
      <c r="G278" s="17"/>
      <c r="H278" s="17"/>
      <c r="I278" s="18" t="s">
        <v>707</v>
      </c>
    </row>
    <row r="279" spans="2:9" hidden="1" x14ac:dyDescent="0.25">
      <c r="B279" s="17">
        <v>5</v>
      </c>
      <c r="C279" s="17" t="s">
        <v>708</v>
      </c>
      <c r="D279" s="17" t="s">
        <v>709</v>
      </c>
      <c r="E279" s="18" t="s">
        <v>2294</v>
      </c>
      <c r="F279" s="17"/>
      <c r="G279" s="17"/>
      <c r="H279" s="17"/>
      <c r="I279" s="18" t="s">
        <v>710</v>
      </c>
    </row>
    <row r="280" spans="2:9" hidden="1" x14ac:dyDescent="0.25">
      <c r="B280" s="17">
        <v>5</v>
      </c>
      <c r="C280" s="17" t="s">
        <v>351</v>
      </c>
      <c r="D280" s="17" t="s">
        <v>30</v>
      </c>
      <c r="E280" s="18" t="s">
        <v>2054</v>
      </c>
      <c r="F280" s="17"/>
      <c r="G280" s="17"/>
      <c r="H280" s="17"/>
      <c r="I280" s="18" t="s">
        <v>352</v>
      </c>
    </row>
    <row r="281" spans="2:9" hidden="1" x14ac:dyDescent="0.25">
      <c r="B281" s="17">
        <v>5</v>
      </c>
      <c r="C281" s="17" t="s">
        <v>711</v>
      </c>
      <c r="D281" s="17" t="s">
        <v>30</v>
      </c>
      <c r="E281" s="18" t="s">
        <v>2295</v>
      </c>
      <c r="F281" s="17"/>
      <c r="G281" s="17"/>
      <c r="H281" s="17"/>
      <c r="I281" s="18" t="s">
        <v>712</v>
      </c>
    </row>
    <row r="282" spans="2:9" hidden="1" x14ac:dyDescent="0.25">
      <c r="B282" s="17">
        <v>5</v>
      </c>
      <c r="C282" s="17" t="s">
        <v>713</v>
      </c>
      <c r="D282" s="17" t="s">
        <v>30</v>
      </c>
      <c r="E282" s="18" t="s">
        <v>2296</v>
      </c>
      <c r="F282" s="17"/>
      <c r="G282" s="17"/>
      <c r="H282" s="17"/>
      <c r="I282" s="18" t="s">
        <v>699</v>
      </c>
    </row>
    <row r="283" spans="2:9" hidden="1" x14ac:dyDescent="0.25">
      <c r="B283" s="17">
        <v>4</v>
      </c>
      <c r="C283" s="17" t="s">
        <v>714</v>
      </c>
      <c r="D283" s="17" t="s">
        <v>40</v>
      </c>
      <c r="E283" s="18" t="s">
        <v>2297</v>
      </c>
      <c r="F283" s="17"/>
      <c r="G283" s="17"/>
      <c r="H283" s="17"/>
      <c r="I283" s="18" t="s">
        <v>715</v>
      </c>
    </row>
    <row r="284" spans="2:9" hidden="1" x14ac:dyDescent="0.25">
      <c r="B284" s="17">
        <v>5</v>
      </c>
      <c r="C284" s="17" t="s">
        <v>87</v>
      </c>
      <c r="D284" s="17" t="s">
        <v>30</v>
      </c>
      <c r="E284" s="18" t="s">
        <v>2298</v>
      </c>
      <c r="F284" s="17"/>
      <c r="G284" s="17"/>
      <c r="H284" s="17"/>
      <c r="I284" s="18" t="s">
        <v>88</v>
      </c>
    </row>
    <row r="285" spans="2:9" hidden="1" x14ac:dyDescent="0.25">
      <c r="B285" s="17">
        <v>5</v>
      </c>
      <c r="C285" s="17" t="s">
        <v>716</v>
      </c>
      <c r="D285" s="17" t="s">
        <v>30</v>
      </c>
      <c r="E285" s="18" t="s">
        <v>2299</v>
      </c>
      <c r="F285" s="17"/>
      <c r="G285" s="17"/>
      <c r="H285" s="17"/>
      <c r="I285" s="18" t="s">
        <v>717</v>
      </c>
    </row>
    <row r="286" spans="2:9" hidden="1" x14ac:dyDescent="0.25">
      <c r="B286" s="17">
        <v>5</v>
      </c>
      <c r="C286" s="17" t="s">
        <v>718</v>
      </c>
      <c r="D286" s="17" t="s">
        <v>30</v>
      </c>
      <c r="E286" s="18" t="s">
        <v>2300</v>
      </c>
      <c r="F286" s="17"/>
      <c r="G286" s="17"/>
      <c r="H286" s="17"/>
      <c r="I286" s="18" t="s">
        <v>719</v>
      </c>
    </row>
    <row r="287" spans="2:9" hidden="1" x14ac:dyDescent="0.25">
      <c r="B287" s="17">
        <v>5</v>
      </c>
      <c r="C287" s="17" t="s">
        <v>720</v>
      </c>
      <c r="D287" s="17" t="s">
        <v>44</v>
      </c>
      <c r="E287" s="18" t="s">
        <v>2301</v>
      </c>
      <c r="F287" s="17"/>
      <c r="G287" s="17"/>
      <c r="H287" s="17"/>
      <c r="I287" s="18" t="s">
        <v>721</v>
      </c>
    </row>
    <row r="288" spans="2:9" hidden="1" x14ac:dyDescent="0.25">
      <c r="B288" s="17">
        <v>5</v>
      </c>
      <c r="C288" s="17" t="s">
        <v>351</v>
      </c>
      <c r="D288" s="17" t="s">
        <v>30</v>
      </c>
      <c r="E288" s="18" t="s">
        <v>2054</v>
      </c>
      <c r="F288" s="17"/>
      <c r="G288" s="17"/>
      <c r="H288" s="17"/>
      <c r="I288" s="18" t="s">
        <v>352</v>
      </c>
    </row>
    <row r="289" spans="2:9" hidden="1" x14ac:dyDescent="0.25">
      <c r="B289" s="17">
        <v>5</v>
      </c>
      <c r="C289" s="17" t="s">
        <v>353</v>
      </c>
      <c r="D289" s="17" t="s">
        <v>30</v>
      </c>
      <c r="E289" s="18" t="s">
        <v>2055</v>
      </c>
      <c r="F289" s="17"/>
      <c r="G289" s="17"/>
      <c r="H289" s="17"/>
      <c r="I289" s="18" t="s">
        <v>354</v>
      </c>
    </row>
    <row r="290" spans="2:9" hidden="1" x14ac:dyDescent="0.25">
      <c r="B290" s="17">
        <v>5</v>
      </c>
      <c r="C290" s="17" t="s">
        <v>722</v>
      </c>
      <c r="D290" s="17" t="s">
        <v>30</v>
      </c>
      <c r="E290" s="18" t="s">
        <v>2302</v>
      </c>
      <c r="F290" s="17"/>
      <c r="G290" s="17"/>
      <c r="H290" s="17"/>
      <c r="I290" s="18" t="s">
        <v>76</v>
      </c>
    </row>
    <row r="291" spans="2:9" hidden="1" x14ac:dyDescent="0.25">
      <c r="B291" s="17">
        <v>5</v>
      </c>
      <c r="C291" s="17" t="s">
        <v>723</v>
      </c>
      <c r="D291" s="17" t="s">
        <v>30</v>
      </c>
      <c r="E291" s="18" t="s">
        <v>2303</v>
      </c>
      <c r="F291" s="17"/>
      <c r="G291" s="17"/>
      <c r="H291" s="17"/>
      <c r="I291" s="18" t="s">
        <v>724</v>
      </c>
    </row>
    <row r="292" spans="2:9" hidden="1" x14ac:dyDescent="0.25">
      <c r="B292" s="17">
        <v>5</v>
      </c>
      <c r="C292" s="17" t="s">
        <v>725</v>
      </c>
      <c r="D292" s="17" t="s">
        <v>30</v>
      </c>
      <c r="E292" s="18" t="s">
        <v>2304</v>
      </c>
      <c r="F292" s="17"/>
      <c r="G292" s="17"/>
      <c r="H292" s="17"/>
      <c r="I292" s="18" t="s">
        <v>726</v>
      </c>
    </row>
    <row r="293" spans="2:9" hidden="1" x14ac:dyDescent="0.25">
      <c r="B293" s="17">
        <v>5</v>
      </c>
      <c r="C293" s="17" t="s">
        <v>727</v>
      </c>
      <c r="D293" s="17" t="s">
        <v>30</v>
      </c>
      <c r="E293" s="18" t="s">
        <v>2305</v>
      </c>
      <c r="F293" s="17"/>
      <c r="G293" s="17"/>
      <c r="H293" s="17"/>
      <c r="I293" s="18" t="s">
        <v>728</v>
      </c>
    </row>
    <row r="294" spans="2:9" hidden="1" x14ac:dyDescent="0.25">
      <c r="B294" s="17">
        <v>5</v>
      </c>
      <c r="C294" s="17" t="s">
        <v>729</v>
      </c>
      <c r="D294" s="17" t="s">
        <v>30</v>
      </c>
      <c r="E294" s="18" t="s">
        <v>2306</v>
      </c>
      <c r="F294" s="17"/>
      <c r="G294" s="17"/>
      <c r="H294" s="17"/>
      <c r="I294" s="18" t="s">
        <v>730</v>
      </c>
    </row>
    <row r="295" spans="2:9" hidden="1" x14ac:dyDescent="0.25">
      <c r="B295" s="17">
        <v>5</v>
      </c>
      <c r="C295" s="17" t="s">
        <v>731</v>
      </c>
      <c r="D295" s="17" t="s">
        <v>30</v>
      </c>
      <c r="E295" s="18" t="s">
        <v>2307</v>
      </c>
      <c r="F295" s="17"/>
      <c r="G295" s="17"/>
      <c r="H295" s="17"/>
      <c r="I295" s="18" t="s">
        <v>699</v>
      </c>
    </row>
    <row r="296" spans="2:9" hidden="1" x14ac:dyDescent="0.25">
      <c r="B296" s="17">
        <v>5</v>
      </c>
      <c r="C296" s="17" t="s">
        <v>732</v>
      </c>
      <c r="D296" s="17" t="s">
        <v>187</v>
      </c>
      <c r="E296" s="18" t="s">
        <v>2308</v>
      </c>
      <c r="F296" s="17"/>
      <c r="G296" s="17"/>
      <c r="H296" s="17"/>
      <c r="I296" s="18" t="s">
        <v>733</v>
      </c>
    </row>
    <row r="297" spans="2:9" hidden="1" x14ac:dyDescent="0.25">
      <c r="B297" s="17">
        <v>5</v>
      </c>
      <c r="C297" s="17" t="s">
        <v>734</v>
      </c>
      <c r="D297" s="17" t="s">
        <v>30</v>
      </c>
      <c r="E297" s="18" t="s">
        <v>2309</v>
      </c>
      <c r="F297" s="17"/>
      <c r="G297" s="17"/>
      <c r="H297" s="17"/>
      <c r="I297" s="18" t="s">
        <v>735</v>
      </c>
    </row>
    <row r="298" spans="2:9" hidden="1" x14ac:dyDescent="0.25">
      <c r="B298" s="17">
        <v>6</v>
      </c>
      <c r="C298" s="17" t="s">
        <v>736</v>
      </c>
      <c r="D298" s="17" t="s">
        <v>30</v>
      </c>
      <c r="E298" s="18" t="s">
        <v>2310</v>
      </c>
      <c r="F298" s="17"/>
      <c r="G298" s="17"/>
      <c r="H298" s="17"/>
      <c r="I298" s="18" t="s">
        <v>737</v>
      </c>
    </row>
    <row r="299" spans="2:9" hidden="1" x14ac:dyDescent="0.25">
      <c r="B299" s="17">
        <v>5</v>
      </c>
      <c r="C299" s="17" t="s">
        <v>738</v>
      </c>
      <c r="D299" s="17" t="s">
        <v>30</v>
      </c>
      <c r="E299" s="18" t="s">
        <v>2311</v>
      </c>
      <c r="F299" s="17"/>
      <c r="G299" s="17"/>
      <c r="H299" s="17"/>
      <c r="I299" s="18" t="s">
        <v>54</v>
      </c>
    </row>
    <row r="300" spans="2:9" hidden="1" x14ac:dyDescent="0.25">
      <c r="B300" s="17">
        <v>5</v>
      </c>
      <c r="C300" s="17" t="s">
        <v>739</v>
      </c>
      <c r="D300" s="17" t="s">
        <v>30</v>
      </c>
      <c r="E300" s="18" t="s">
        <v>2312</v>
      </c>
      <c r="F300" s="17"/>
      <c r="G300" s="17"/>
      <c r="H300" s="17"/>
      <c r="I300" s="18" t="s">
        <v>740</v>
      </c>
    </row>
    <row r="301" spans="2:9" hidden="1" x14ac:dyDescent="0.25">
      <c r="B301" s="17">
        <v>5</v>
      </c>
      <c r="C301" s="17" t="s">
        <v>741</v>
      </c>
      <c r="D301" s="17" t="s">
        <v>42</v>
      </c>
      <c r="E301" s="18" t="s">
        <v>2313</v>
      </c>
      <c r="F301" s="17"/>
      <c r="G301" s="17"/>
      <c r="H301" s="17"/>
      <c r="I301" s="18" t="s">
        <v>699</v>
      </c>
    </row>
    <row r="302" spans="2:9" hidden="1" x14ac:dyDescent="0.25">
      <c r="B302" s="17">
        <v>5</v>
      </c>
      <c r="C302" s="17" t="s">
        <v>742</v>
      </c>
      <c r="D302" s="17" t="s">
        <v>30</v>
      </c>
      <c r="E302" s="18" t="s">
        <v>2314</v>
      </c>
      <c r="F302" s="17"/>
      <c r="G302" s="17"/>
      <c r="H302" s="17"/>
      <c r="I302" s="18" t="s">
        <v>703</v>
      </c>
    </row>
    <row r="303" spans="2:9" hidden="1" x14ac:dyDescent="0.25">
      <c r="B303" s="17">
        <v>5</v>
      </c>
      <c r="C303" s="17" t="s">
        <v>743</v>
      </c>
      <c r="D303" s="17" t="s">
        <v>30</v>
      </c>
      <c r="E303" s="18" t="s">
        <v>2315</v>
      </c>
      <c r="F303" s="17"/>
      <c r="G303" s="17"/>
      <c r="H303" s="17"/>
      <c r="I303" s="18" t="s">
        <v>744</v>
      </c>
    </row>
    <row r="304" spans="2:9" hidden="1" x14ac:dyDescent="0.25">
      <c r="B304" s="17">
        <v>5</v>
      </c>
      <c r="C304" s="17" t="s">
        <v>745</v>
      </c>
      <c r="D304" s="17" t="s">
        <v>30</v>
      </c>
      <c r="E304" s="18" t="s">
        <v>2316</v>
      </c>
      <c r="F304" s="17"/>
      <c r="G304" s="17"/>
      <c r="H304" s="17"/>
      <c r="I304" s="18" t="s">
        <v>746</v>
      </c>
    </row>
    <row r="305" spans="2:9" hidden="1" x14ac:dyDescent="0.25">
      <c r="B305" s="17">
        <v>5</v>
      </c>
      <c r="C305" s="17" t="s">
        <v>89</v>
      </c>
      <c r="D305" s="17" t="s">
        <v>30</v>
      </c>
      <c r="E305" s="18" t="s">
        <v>2317</v>
      </c>
      <c r="F305" s="17"/>
      <c r="G305" s="17"/>
      <c r="H305" s="17"/>
      <c r="I305" s="18" t="s">
        <v>90</v>
      </c>
    </row>
    <row r="306" spans="2:9" hidden="1" x14ac:dyDescent="0.25">
      <c r="B306" s="17">
        <v>5</v>
      </c>
      <c r="C306" s="17" t="s">
        <v>747</v>
      </c>
      <c r="D306" s="17" t="s">
        <v>30</v>
      </c>
      <c r="E306" s="18" t="s">
        <v>2318</v>
      </c>
      <c r="F306" s="17"/>
      <c r="G306" s="17"/>
      <c r="H306" s="17"/>
      <c r="I306" s="18" t="s">
        <v>748</v>
      </c>
    </row>
    <row r="307" spans="2:9" hidden="1" x14ac:dyDescent="0.25">
      <c r="B307" s="17">
        <v>5</v>
      </c>
      <c r="C307" s="17" t="s">
        <v>749</v>
      </c>
      <c r="D307" s="17" t="s">
        <v>30</v>
      </c>
      <c r="E307" s="18" t="s">
        <v>2319</v>
      </c>
      <c r="F307" s="17"/>
      <c r="G307" s="17"/>
      <c r="H307" s="17"/>
      <c r="I307" s="18" t="s">
        <v>750</v>
      </c>
    </row>
    <row r="308" spans="2:9" hidden="1" x14ac:dyDescent="0.25">
      <c r="B308" s="17">
        <v>5</v>
      </c>
      <c r="C308" s="17" t="s">
        <v>751</v>
      </c>
      <c r="D308" s="17" t="s">
        <v>30</v>
      </c>
      <c r="E308" s="18" t="s">
        <v>2320</v>
      </c>
      <c r="F308" s="17"/>
      <c r="G308" s="17"/>
      <c r="H308" s="17"/>
      <c r="I308" s="18" t="s">
        <v>752</v>
      </c>
    </row>
    <row r="309" spans="2:9" hidden="1" x14ac:dyDescent="0.25">
      <c r="B309" s="17">
        <v>5</v>
      </c>
      <c r="C309" s="17" t="s">
        <v>753</v>
      </c>
      <c r="D309" s="17" t="s">
        <v>30</v>
      </c>
      <c r="E309" s="18" t="s">
        <v>2321</v>
      </c>
      <c r="F309" s="17"/>
      <c r="G309" s="17"/>
      <c r="H309" s="17"/>
      <c r="I309" s="18" t="s">
        <v>54</v>
      </c>
    </row>
    <row r="310" spans="2:9" hidden="1" x14ac:dyDescent="0.25">
      <c r="B310" s="17">
        <v>5</v>
      </c>
      <c r="C310" s="17" t="s">
        <v>754</v>
      </c>
      <c r="D310" s="17" t="s">
        <v>30</v>
      </c>
      <c r="E310" s="18" t="s">
        <v>2322</v>
      </c>
      <c r="F310" s="17"/>
      <c r="G310" s="17"/>
      <c r="H310" s="17"/>
      <c r="I310" s="18" t="s">
        <v>755</v>
      </c>
    </row>
    <row r="311" spans="2:9" hidden="1" x14ac:dyDescent="0.25">
      <c r="B311" s="17">
        <v>5</v>
      </c>
      <c r="C311" s="17" t="s">
        <v>756</v>
      </c>
      <c r="D311" s="17" t="s">
        <v>30</v>
      </c>
      <c r="E311" s="18" t="s">
        <v>2323</v>
      </c>
      <c r="F311" s="17"/>
      <c r="G311" s="17"/>
      <c r="H311" s="17"/>
      <c r="I311" s="18" t="s">
        <v>757</v>
      </c>
    </row>
    <row r="312" spans="2:9" hidden="1" x14ac:dyDescent="0.25">
      <c r="B312" s="17">
        <v>5</v>
      </c>
      <c r="C312" s="17" t="s">
        <v>758</v>
      </c>
      <c r="D312" s="17" t="s">
        <v>30</v>
      </c>
      <c r="E312" s="18" t="s">
        <v>2324</v>
      </c>
      <c r="F312" s="17"/>
      <c r="G312" s="17"/>
      <c r="H312" s="17"/>
      <c r="I312" s="18" t="s">
        <v>759</v>
      </c>
    </row>
    <row r="313" spans="2:9" hidden="1" x14ac:dyDescent="0.25">
      <c r="B313" s="17">
        <v>5</v>
      </c>
      <c r="C313" s="17" t="s">
        <v>760</v>
      </c>
      <c r="D313" s="17" t="s">
        <v>30</v>
      </c>
      <c r="E313" s="18" t="s">
        <v>2325</v>
      </c>
      <c r="F313" s="17"/>
      <c r="G313" s="17"/>
      <c r="H313" s="17"/>
      <c r="I313" s="18" t="s">
        <v>761</v>
      </c>
    </row>
    <row r="314" spans="2:9" hidden="1" x14ac:dyDescent="0.25">
      <c r="B314" s="17">
        <v>5</v>
      </c>
      <c r="C314" s="17" t="s">
        <v>762</v>
      </c>
      <c r="D314" s="17" t="s">
        <v>30</v>
      </c>
      <c r="E314" s="18" t="s">
        <v>2326</v>
      </c>
      <c r="F314" s="17"/>
      <c r="G314" s="17"/>
      <c r="H314" s="17"/>
      <c r="I314" s="18" t="s">
        <v>755</v>
      </c>
    </row>
    <row r="315" spans="2:9" hidden="1" x14ac:dyDescent="0.25">
      <c r="B315" s="17">
        <v>5</v>
      </c>
      <c r="C315" s="17" t="s">
        <v>763</v>
      </c>
      <c r="D315" s="17" t="s">
        <v>30</v>
      </c>
      <c r="E315" s="18" t="s">
        <v>2327</v>
      </c>
      <c r="F315" s="17"/>
      <c r="G315" s="17"/>
      <c r="H315" s="17"/>
      <c r="I315" s="18" t="s">
        <v>755</v>
      </c>
    </row>
    <row r="316" spans="2:9" hidden="1" x14ac:dyDescent="0.25">
      <c r="B316" s="17">
        <v>5</v>
      </c>
      <c r="C316" s="17" t="s">
        <v>764</v>
      </c>
      <c r="D316" s="17" t="s">
        <v>30</v>
      </c>
      <c r="E316" s="18" t="s">
        <v>2328</v>
      </c>
      <c r="F316" s="17"/>
      <c r="G316" s="17"/>
      <c r="H316" s="17"/>
      <c r="I316" s="18" t="s">
        <v>91</v>
      </c>
    </row>
    <row r="317" spans="2:9" hidden="1" x14ac:dyDescent="0.25">
      <c r="B317" s="17">
        <v>5</v>
      </c>
      <c r="C317" s="17" t="s">
        <v>765</v>
      </c>
      <c r="D317" s="17" t="s">
        <v>40</v>
      </c>
      <c r="E317" s="18" t="s">
        <v>2329</v>
      </c>
      <c r="F317" s="17"/>
      <c r="G317" s="17"/>
      <c r="H317" s="17"/>
      <c r="I317" s="18" t="s">
        <v>93</v>
      </c>
    </row>
    <row r="318" spans="2:9" hidden="1" x14ac:dyDescent="0.25">
      <c r="B318" s="17">
        <v>5</v>
      </c>
      <c r="C318" s="17" t="s">
        <v>766</v>
      </c>
      <c r="D318" s="17" t="s">
        <v>40</v>
      </c>
      <c r="E318" s="18" t="s">
        <v>2330</v>
      </c>
      <c r="F318" s="17"/>
      <c r="G318" s="17"/>
      <c r="H318" s="17"/>
      <c r="I318" s="18" t="s">
        <v>93</v>
      </c>
    </row>
    <row r="319" spans="2:9" hidden="1" x14ac:dyDescent="0.25">
      <c r="B319" s="17">
        <v>5</v>
      </c>
      <c r="C319" s="17" t="s">
        <v>92</v>
      </c>
      <c r="D319" s="17" t="s">
        <v>30</v>
      </c>
      <c r="E319" s="18" t="s">
        <v>2331</v>
      </c>
      <c r="F319" s="17"/>
      <c r="G319" s="17"/>
      <c r="H319" s="17"/>
      <c r="I319" s="18" t="s">
        <v>93</v>
      </c>
    </row>
    <row r="320" spans="2:9" hidden="1" x14ac:dyDescent="0.25">
      <c r="B320" s="17">
        <v>5</v>
      </c>
      <c r="C320" s="17" t="s">
        <v>92</v>
      </c>
      <c r="D320" s="17" t="s">
        <v>181</v>
      </c>
      <c r="E320" s="18" t="s">
        <v>2331</v>
      </c>
      <c r="F320" s="17"/>
      <c r="G320" s="17"/>
      <c r="H320" s="17"/>
      <c r="I320" s="18" t="s">
        <v>93</v>
      </c>
    </row>
    <row r="321" spans="2:9" hidden="1" x14ac:dyDescent="0.25">
      <c r="B321" s="17">
        <v>5</v>
      </c>
      <c r="C321" s="17" t="s">
        <v>767</v>
      </c>
      <c r="D321" s="17" t="s">
        <v>181</v>
      </c>
      <c r="E321" s="18" t="s">
        <v>2332</v>
      </c>
      <c r="F321" s="17"/>
      <c r="G321" s="17"/>
      <c r="H321" s="17"/>
      <c r="I321" s="18" t="s">
        <v>93</v>
      </c>
    </row>
    <row r="322" spans="2:9" hidden="1" x14ac:dyDescent="0.25">
      <c r="B322" s="17">
        <v>5</v>
      </c>
      <c r="C322" s="17" t="s">
        <v>768</v>
      </c>
      <c r="D322" s="17" t="s">
        <v>30</v>
      </c>
      <c r="E322" s="18" t="s">
        <v>2333</v>
      </c>
      <c r="F322" s="17"/>
      <c r="G322" s="17"/>
      <c r="H322" s="17"/>
      <c r="I322" s="18" t="s">
        <v>93</v>
      </c>
    </row>
    <row r="323" spans="2:9" hidden="1" x14ac:dyDescent="0.25">
      <c r="B323" s="17">
        <v>5</v>
      </c>
      <c r="C323" s="17" t="s">
        <v>769</v>
      </c>
      <c r="D323" s="17" t="s">
        <v>40</v>
      </c>
      <c r="E323" s="18" t="s">
        <v>2334</v>
      </c>
      <c r="F323" s="17"/>
      <c r="G323" s="17"/>
      <c r="H323" s="17"/>
      <c r="I323" s="18" t="s">
        <v>699</v>
      </c>
    </row>
    <row r="324" spans="2:9" hidden="1" x14ac:dyDescent="0.25">
      <c r="B324" s="17">
        <v>5</v>
      </c>
      <c r="C324" s="17" t="s">
        <v>770</v>
      </c>
      <c r="D324" s="17" t="s">
        <v>44</v>
      </c>
      <c r="E324" s="18" t="s">
        <v>2335</v>
      </c>
      <c r="F324" s="17"/>
      <c r="G324" s="17"/>
      <c r="H324" s="17"/>
      <c r="I324" s="18" t="s">
        <v>771</v>
      </c>
    </row>
    <row r="325" spans="2:9" hidden="1" x14ac:dyDescent="0.25">
      <c r="B325" s="17">
        <v>5</v>
      </c>
      <c r="C325" s="17" t="s">
        <v>772</v>
      </c>
      <c r="D325" s="17" t="s">
        <v>44</v>
      </c>
      <c r="E325" s="18" t="s">
        <v>2336</v>
      </c>
      <c r="F325" s="17"/>
      <c r="G325" s="17"/>
      <c r="H325" s="17"/>
      <c r="I325" s="18" t="s">
        <v>94</v>
      </c>
    </row>
    <row r="326" spans="2:9" hidden="1" x14ac:dyDescent="0.25">
      <c r="B326" s="17">
        <v>5</v>
      </c>
      <c r="C326" s="17" t="s">
        <v>95</v>
      </c>
      <c r="D326" s="17" t="s">
        <v>30</v>
      </c>
      <c r="E326" s="18" t="s">
        <v>2337</v>
      </c>
      <c r="F326" s="17"/>
      <c r="G326" s="17"/>
      <c r="H326" s="17"/>
      <c r="I326" s="18" t="s">
        <v>96</v>
      </c>
    </row>
    <row r="327" spans="2:9" hidden="1" x14ac:dyDescent="0.25">
      <c r="B327" s="17">
        <v>4</v>
      </c>
      <c r="C327" s="17" t="s">
        <v>773</v>
      </c>
      <c r="D327" s="17" t="s">
        <v>30</v>
      </c>
      <c r="E327" s="18" t="s">
        <v>2338</v>
      </c>
      <c r="F327" s="17"/>
      <c r="G327" s="17"/>
      <c r="H327" s="17"/>
      <c r="I327" s="18" t="s">
        <v>774</v>
      </c>
    </row>
    <row r="328" spans="2:9" hidden="1" x14ac:dyDescent="0.25">
      <c r="B328" s="17">
        <v>5</v>
      </c>
      <c r="C328" s="17" t="s">
        <v>656</v>
      </c>
      <c r="D328" s="17" t="s">
        <v>30</v>
      </c>
      <c r="E328" s="18" t="s">
        <v>2339</v>
      </c>
      <c r="F328" s="17"/>
      <c r="G328" s="17"/>
      <c r="H328" s="17"/>
      <c r="I328" s="18" t="s">
        <v>73</v>
      </c>
    </row>
    <row r="329" spans="2:9" hidden="1" x14ac:dyDescent="0.25">
      <c r="B329" s="17">
        <v>5</v>
      </c>
      <c r="C329" s="17" t="s">
        <v>775</v>
      </c>
      <c r="D329" s="17" t="s">
        <v>42</v>
      </c>
      <c r="E329" s="18" t="s">
        <v>2340</v>
      </c>
      <c r="F329" s="17"/>
      <c r="G329" s="17"/>
      <c r="H329" s="17"/>
      <c r="I329" s="18" t="s">
        <v>74</v>
      </c>
    </row>
    <row r="330" spans="2:9" hidden="1" x14ac:dyDescent="0.25">
      <c r="B330" s="17">
        <v>6</v>
      </c>
      <c r="C330" s="17" t="s">
        <v>75</v>
      </c>
      <c r="D330" s="17" t="s">
        <v>30</v>
      </c>
      <c r="E330" s="18" t="s">
        <v>2341</v>
      </c>
      <c r="F330" s="17"/>
      <c r="G330" s="17"/>
      <c r="H330" s="17"/>
      <c r="I330" s="18" t="s">
        <v>76</v>
      </c>
    </row>
    <row r="331" spans="2:9" hidden="1" x14ac:dyDescent="0.25">
      <c r="B331" s="17">
        <v>5</v>
      </c>
      <c r="C331" s="17" t="s">
        <v>776</v>
      </c>
      <c r="D331" s="17" t="s">
        <v>42</v>
      </c>
      <c r="E331" s="18" t="s">
        <v>2342</v>
      </c>
      <c r="F331" s="17"/>
      <c r="G331" s="17"/>
      <c r="H331" s="17"/>
      <c r="I331" s="18" t="s">
        <v>777</v>
      </c>
    </row>
    <row r="332" spans="2:9" hidden="1" x14ac:dyDescent="0.25">
      <c r="B332" s="17">
        <v>6</v>
      </c>
      <c r="C332" s="17" t="s">
        <v>75</v>
      </c>
      <c r="D332" s="17" t="s">
        <v>30</v>
      </c>
      <c r="E332" s="18" t="s">
        <v>2341</v>
      </c>
      <c r="F332" s="17"/>
      <c r="G332" s="17"/>
      <c r="H332" s="17"/>
      <c r="I332" s="18" t="s">
        <v>76</v>
      </c>
    </row>
    <row r="333" spans="2:9" hidden="1" x14ac:dyDescent="0.25">
      <c r="B333" s="17">
        <v>5</v>
      </c>
      <c r="C333" s="17" t="s">
        <v>776</v>
      </c>
      <c r="D333" s="17" t="s">
        <v>42</v>
      </c>
      <c r="E333" s="18" t="s">
        <v>2342</v>
      </c>
      <c r="F333" s="17"/>
      <c r="G333" s="17"/>
      <c r="H333" s="17"/>
      <c r="I333" s="18" t="s">
        <v>777</v>
      </c>
    </row>
    <row r="334" spans="2:9" hidden="1" x14ac:dyDescent="0.25">
      <c r="B334" s="17">
        <v>6</v>
      </c>
      <c r="C334" s="17" t="s">
        <v>75</v>
      </c>
      <c r="D334" s="17" t="s">
        <v>30</v>
      </c>
      <c r="E334" s="18" t="s">
        <v>2341</v>
      </c>
      <c r="F334" s="17"/>
      <c r="G334" s="17"/>
      <c r="H334" s="17"/>
      <c r="I334" s="18" t="s">
        <v>76</v>
      </c>
    </row>
    <row r="335" spans="2:9" hidden="1" x14ac:dyDescent="0.25">
      <c r="B335" s="17">
        <v>5</v>
      </c>
      <c r="C335" s="17" t="s">
        <v>778</v>
      </c>
      <c r="D335" s="17" t="s">
        <v>40</v>
      </c>
      <c r="E335" s="18" t="s">
        <v>2343</v>
      </c>
      <c r="F335" s="17"/>
      <c r="G335" s="17"/>
      <c r="H335" s="17"/>
      <c r="I335" s="18" t="s">
        <v>74</v>
      </c>
    </row>
    <row r="336" spans="2:9" hidden="1" x14ac:dyDescent="0.25">
      <c r="B336" s="17">
        <v>6</v>
      </c>
      <c r="C336" s="17" t="s">
        <v>779</v>
      </c>
      <c r="D336" s="17" t="s">
        <v>30</v>
      </c>
      <c r="E336" s="18" t="s">
        <v>2344</v>
      </c>
      <c r="F336" s="17"/>
      <c r="G336" s="17"/>
      <c r="H336" s="17"/>
      <c r="I336" s="18" t="s">
        <v>93</v>
      </c>
    </row>
    <row r="337" spans="2:9" hidden="1" x14ac:dyDescent="0.25">
      <c r="B337" s="17">
        <v>5</v>
      </c>
      <c r="C337" s="17" t="s">
        <v>780</v>
      </c>
      <c r="D337" s="17" t="s">
        <v>40</v>
      </c>
      <c r="E337" s="18" t="s">
        <v>2345</v>
      </c>
      <c r="F337" s="17"/>
      <c r="G337" s="17"/>
      <c r="H337" s="17"/>
      <c r="I337" s="18" t="s">
        <v>74</v>
      </c>
    </row>
    <row r="338" spans="2:9" hidden="1" x14ac:dyDescent="0.25">
      <c r="B338" s="17">
        <v>6</v>
      </c>
      <c r="C338" s="17" t="s">
        <v>779</v>
      </c>
      <c r="D338" s="17" t="s">
        <v>30</v>
      </c>
      <c r="E338" s="18" t="s">
        <v>2344</v>
      </c>
      <c r="F338" s="17"/>
      <c r="G338" s="17"/>
      <c r="H338" s="17"/>
      <c r="I338" s="18" t="s">
        <v>781</v>
      </c>
    </row>
    <row r="339" spans="2:9" hidden="1" x14ac:dyDescent="0.25">
      <c r="B339" s="17">
        <v>5</v>
      </c>
      <c r="C339" s="17" t="s">
        <v>780</v>
      </c>
      <c r="D339" s="17" t="s">
        <v>40</v>
      </c>
      <c r="E339" s="18" t="s">
        <v>2345</v>
      </c>
      <c r="F339" s="17"/>
      <c r="G339" s="17"/>
      <c r="H339" s="17"/>
      <c r="I339" s="18" t="s">
        <v>74</v>
      </c>
    </row>
    <row r="340" spans="2:9" hidden="1" x14ac:dyDescent="0.25">
      <c r="B340" s="17">
        <v>6</v>
      </c>
      <c r="C340" s="17" t="s">
        <v>779</v>
      </c>
      <c r="D340" s="17" t="s">
        <v>30</v>
      </c>
      <c r="E340" s="18" t="s">
        <v>2344</v>
      </c>
      <c r="F340" s="17"/>
      <c r="G340" s="17"/>
      <c r="H340" s="17"/>
      <c r="I340" s="18" t="s">
        <v>781</v>
      </c>
    </row>
    <row r="341" spans="2:9" hidden="1" x14ac:dyDescent="0.25">
      <c r="B341" s="17">
        <v>5</v>
      </c>
      <c r="C341" s="17" t="s">
        <v>782</v>
      </c>
      <c r="D341" s="17" t="s">
        <v>30</v>
      </c>
      <c r="E341" s="18" t="s">
        <v>2346</v>
      </c>
      <c r="F341" s="17"/>
      <c r="G341" s="17"/>
      <c r="H341" s="17"/>
      <c r="I341" s="18" t="s">
        <v>52</v>
      </c>
    </row>
    <row r="342" spans="2:9" hidden="1" x14ac:dyDescent="0.25">
      <c r="B342" s="17">
        <v>5</v>
      </c>
      <c r="C342" s="17" t="s">
        <v>783</v>
      </c>
      <c r="D342" s="17" t="s">
        <v>30</v>
      </c>
      <c r="E342" s="18" t="s">
        <v>2347</v>
      </c>
      <c r="F342" s="17"/>
      <c r="G342" s="17"/>
      <c r="H342" s="17"/>
      <c r="I342" s="18" t="s">
        <v>52</v>
      </c>
    </row>
    <row r="343" spans="2:9" hidden="1" x14ac:dyDescent="0.25">
      <c r="B343" s="17">
        <v>5</v>
      </c>
      <c r="C343" s="17" t="s">
        <v>784</v>
      </c>
      <c r="D343" s="17" t="s">
        <v>30</v>
      </c>
      <c r="E343" s="18" t="s">
        <v>2348</v>
      </c>
      <c r="F343" s="17"/>
      <c r="G343" s="17"/>
      <c r="H343" s="17"/>
      <c r="I343" s="18" t="s">
        <v>52</v>
      </c>
    </row>
    <row r="344" spans="2:9" hidden="1" x14ac:dyDescent="0.25">
      <c r="B344" s="17">
        <v>5</v>
      </c>
      <c r="C344" s="17" t="s">
        <v>785</v>
      </c>
      <c r="D344" s="17" t="s">
        <v>30</v>
      </c>
      <c r="E344" s="18" t="s">
        <v>2349</v>
      </c>
      <c r="F344" s="17"/>
      <c r="G344" s="17"/>
      <c r="H344" s="17"/>
      <c r="I344" s="18" t="s">
        <v>52</v>
      </c>
    </row>
    <row r="345" spans="2:9" hidden="1" x14ac:dyDescent="0.25">
      <c r="B345" s="17">
        <v>5</v>
      </c>
      <c r="C345" s="17" t="s">
        <v>786</v>
      </c>
      <c r="D345" s="17" t="s">
        <v>30</v>
      </c>
      <c r="E345" s="18" t="s">
        <v>2350</v>
      </c>
      <c r="F345" s="17"/>
      <c r="G345" s="17"/>
      <c r="H345" s="17"/>
      <c r="I345" s="18" t="s">
        <v>52</v>
      </c>
    </row>
    <row r="346" spans="2:9" hidden="1" x14ac:dyDescent="0.25">
      <c r="B346" s="17">
        <v>5</v>
      </c>
      <c r="C346" s="17" t="s">
        <v>787</v>
      </c>
      <c r="D346" s="17" t="s">
        <v>30</v>
      </c>
      <c r="E346" s="18" t="s">
        <v>2351</v>
      </c>
      <c r="F346" s="17"/>
      <c r="G346" s="17"/>
      <c r="H346" s="17"/>
      <c r="I346" s="18" t="s">
        <v>52</v>
      </c>
    </row>
    <row r="347" spans="2:9" hidden="1" x14ac:dyDescent="0.25">
      <c r="B347" s="17">
        <v>5</v>
      </c>
      <c r="C347" s="17" t="s">
        <v>788</v>
      </c>
      <c r="D347" s="17" t="s">
        <v>30</v>
      </c>
      <c r="E347" s="18" t="s">
        <v>2352</v>
      </c>
      <c r="F347" s="17"/>
      <c r="G347" s="17"/>
      <c r="H347" s="17"/>
      <c r="I347" s="18" t="s">
        <v>52</v>
      </c>
    </row>
    <row r="348" spans="2:9" hidden="1" x14ac:dyDescent="0.25">
      <c r="B348" s="17">
        <v>5</v>
      </c>
      <c r="C348" s="17" t="s">
        <v>789</v>
      </c>
      <c r="D348" s="17" t="s">
        <v>30</v>
      </c>
      <c r="E348" s="18" t="s">
        <v>2353</v>
      </c>
      <c r="F348" s="17"/>
      <c r="G348" s="17"/>
      <c r="H348" s="17"/>
      <c r="I348" s="18" t="s">
        <v>52</v>
      </c>
    </row>
    <row r="349" spans="2:9" hidden="1" x14ac:dyDescent="0.25">
      <c r="B349" s="17">
        <v>5</v>
      </c>
      <c r="C349" s="17" t="s">
        <v>790</v>
      </c>
      <c r="D349" s="17" t="s">
        <v>30</v>
      </c>
      <c r="E349" s="18" t="s">
        <v>2354</v>
      </c>
      <c r="F349" s="17"/>
      <c r="G349" s="17"/>
      <c r="H349" s="17"/>
      <c r="I349" s="18" t="s">
        <v>52</v>
      </c>
    </row>
    <row r="350" spans="2:9" hidden="1" x14ac:dyDescent="0.25">
      <c r="B350" s="17">
        <v>5</v>
      </c>
      <c r="C350" s="17" t="s">
        <v>791</v>
      </c>
      <c r="D350" s="17" t="s">
        <v>30</v>
      </c>
      <c r="E350" s="18" t="s">
        <v>2355</v>
      </c>
      <c r="F350" s="17"/>
      <c r="G350" s="17"/>
      <c r="H350" s="17"/>
      <c r="I350" s="18" t="s">
        <v>52</v>
      </c>
    </row>
    <row r="351" spans="2:9" hidden="1" x14ac:dyDescent="0.25">
      <c r="B351" s="17">
        <v>5</v>
      </c>
      <c r="C351" s="17" t="s">
        <v>792</v>
      </c>
      <c r="D351" s="17" t="s">
        <v>42</v>
      </c>
      <c r="E351" s="18" t="s">
        <v>2356</v>
      </c>
      <c r="F351" s="17"/>
      <c r="G351" s="17"/>
      <c r="H351" s="17"/>
      <c r="I351" s="18" t="s">
        <v>52</v>
      </c>
    </row>
    <row r="352" spans="2:9" hidden="1" x14ac:dyDescent="0.25">
      <c r="B352" s="17">
        <v>5</v>
      </c>
      <c r="C352" s="17" t="s">
        <v>793</v>
      </c>
      <c r="D352" s="17" t="s">
        <v>30</v>
      </c>
      <c r="E352" s="18" t="s">
        <v>2357</v>
      </c>
      <c r="F352" s="17"/>
      <c r="G352" s="17"/>
      <c r="H352" s="17"/>
      <c r="I352" s="18" t="s">
        <v>794</v>
      </c>
    </row>
    <row r="353" spans="2:9" hidden="1" x14ac:dyDescent="0.25">
      <c r="B353" s="17">
        <v>5</v>
      </c>
      <c r="C353" s="17" t="s">
        <v>795</v>
      </c>
      <c r="D353" s="17" t="s">
        <v>30</v>
      </c>
      <c r="E353" s="18" t="s">
        <v>2358</v>
      </c>
      <c r="F353" s="17"/>
      <c r="G353" s="17"/>
      <c r="H353" s="17"/>
      <c r="I353" s="18" t="s">
        <v>794</v>
      </c>
    </row>
    <row r="354" spans="2:9" hidden="1" x14ac:dyDescent="0.25">
      <c r="B354" s="17">
        <v>5</v>
      </c>
      <c r="C354" s="17" t="s">
        <v>796</v>
      </c>
      <c r="D354" s="17" t="s">
        <v>40</v>
      </c>
      <c r="E354" s="18" t="s">
        <v>2359</v>
      </c>
      <c r="F354" s="17"/>
      <c r="G354" s="17"/>
      <c r="H354" s="17"/>
      <c r="I354" s="18" t="s">
        <v>794</v>
      </c>
    </row>
    <row r="355" spans="2:9" hidden="1" x14ac:dyDescent="0.25">
      <c r="B355" s="17">
        <v>5</v>
      </c>
      <c r="C355" s="17" t="s">
        <v>797</v>
      </c>
      <c r="D355" s="17" t="s">
        <v>40</v>
      </c>
      <c r="E355" s="18" t="s">
        <v>2360</v>
      </c>
      <c r="F355" s="17"/>
      <c r="G355" s="17"/>
      <c r="H355" s="17"/>
      <c r="I355" s="18" t="s">
        <v>794</v>
      </c>
    </row>
    <row r="356" spans="2:9" hidden="1" x14ac:dyDescent="0.25">
      <c r="B356" s="17">
        <v>5</v>
      </c>
      <c r="C356" s="17" t="s">
        <v>798</v>
      </c>
      <c r="D356" s="17" t="s">
        <v>30</v>
      </c>
      <c r="E356" s="18" t="s">
        <v>2361</v>
      </c>
      <c r="F356" s="17"/>
      <c r="G356" s="17"/>
      <c r="H356" s="17"/>
      <c r="I356" s="18" t="s">
        <v>794</v>
      </c>
    </row>
    <row r="357" spans="2:9" hidden="1" x14ac:dyDescent="0.25">
      <c r="B357" s="17">
        <v>5</v>
      </c>
      <c r="C357" s="17" t="s">
        <v>99</v>
      </c>
      <c r="D357" s="17" t="s">
        <v>30</v>
      </c>
      <c r="E357" s="18" t="s">
        <v>2362</v>
      </c>
      <c r="F357" s="17"/>
      <c r="G357" s="17"/>
      <c r="H357" s="17"/>
      <c r="I357" s="18" t="s">
        <v>799</v>
      </c>
    </row>
    <row r="358" spans="2:9" hidden="1" x14ac:dyDescent="0.25">
      <c r="B358" s="17">
        <v>5</v>
      </c>
      <c r="C358" s="17" t="s">
        <v>103</v>
      </c>
      <c r="D358" s="17" t="s">
        <v>30</v>
      </c>
      <c r="E358" s="18" t="s">
        <v>2363</v>
      </c>
      <c r="F358" s="17"/>
      <c r="G358" s="17"/>
      <c r="H358" s="17"/>
      <c r="I358" s="18" t="s">
        <v>104</v>
      </c>
    </row>
    <row r="359" spans="2:9" hidden="1" x14ac:dyDescent="0.25">
      <c r="B359" s="17">
        <v>5</v>
      </c>
      <c r="C359" s="17" t="s">
        <v>800</v>
      </c>
      <c r="D359" s="17" t="s">
        <v>30</v>
      </c>
      <c r="E359" s="18" t="s">
        <v>2364</v>
      </c>
      <c r="F359" s="17"/>
      <c r="G359" s="17"/>
      <c r="H359" s="17"/>
      <c r="I359" s="18" t="s">
        <v>106</v>
      </c>
    </row>
    <row r="360" spans="2:9" hidden="1" x14ac:dyDescent="0.25">
      <c r="B360" s="17">
        <v>5</v>
      </c>
      <c r="C360" s="17" t="s">
        <v>801</v>
      </c>
      <c r="D360" s="17" t="s">
        <v>30</v>
      </c>
      <c r="E360" s="18" t="s">
        <v>2365</v>
      </c>
      <c r="F360" s="17"/>
      <c r="G360" s="17"/>
      <c r="H360" s="17"/>
      <c r="I360" s="18" t="s">
        <v>106</v>
      </c>
    </row>
    <row r="361" spans="2:9" hidden="1" x14ac:dyDescent="0.25">
      <c r="B361" s="17">
        <v>5</v>
      </c>
      <c r="C361" s="17" t="s">
        <v>107</v>
      </c>
      <c r="D361" s="17" t="s">
        <v>40</v>
      </c>
      <c r="E361" s="18" t="s">
        <v>2101</v>
      </c>
      <c r="F361" s="17"/>
      <c r="G361" s="17"/>
      <c r="H361" s="17"/>
      <c r="I361" s="18" t="s">
        <v>108</v>
      </c>
    </row>
    <row r="362" spans="2:9" hidden="1" x14ac:dyDescent="0.25">
      <c r="B362" s="17">
        <v>5</v>
      </c>
      <c r="C362" s="17" t="s">
        <v>802</v>
      </c>
      <c r="D362" s="17" t="s">
        <v>30</v>
      </c>
      <c r="E362" s="18" t="s">
        <v>2366</v>
      </c>
      <c r="F362" s="17"/>
      <c r="G362" s="17"/>
      <c r="H362" s="17"/>
      <c r="I362" s="18" t="s">
        <v>803</v>
      </c>
    </row>
    <row r="363" spans="2:9" hidden="1" x14ac:dyDescent="0.25">
      <c r="B363" s="17">
        <v>5</v>
      </c>
      <c r="C363" s="17" t="s">
        <v>804</v>
      </c>
      <c r="D363" s="17" t="s">
        <v>42</v>
      </c>
      <c r="E363" s="18" t="s">
        <v>2367</v>
      </c>
      <c r="F363" s="17"/>
      <c r="G363" s="17"/>
      <c r="H363" s="17"/>
      <c r="I363" s="18" t="s">
        <v>805</v>
      </c>
    </row>
    <row r="364" spans="2:9" hidden="1" x14ac:dyDescent="0.25">
      <c r="B364" s="17">
        <v>4</v>
      </c>
      <c r="C364" s="17" t="s">
        <v>806</v>
      </c>
      <c r="D364" s="17" t="s">
        <v>30</v>
      </c>
      <c r="E364" s="18" t="s">
        <v>2368</v>
      </c>
      <c r="F364" s="17"/>
      <c r="G364" s="17"/>
      <c r="H364" s="17"/>
      <c r="I364" s="18" t="s">
        <v>807</v>
      </c>
    </row>
    <row r="365" spans="2:9" hidden="1" x14ac:dyDescent="0.25">
      <c r="B365" s="17">
        <v>4</v>
      </c>
      <c r="C365" s="17" t="s">
        <v>97</v>
      </c>
      <c r="D365" s="17" t="s">
        <v>41</v>
      </c>
      <c r="E365" s="18" t="s">
        <v>2369</v>
      </c>
      <c r="F365" s="17"/>
      <c r="G365" s="17"/>
      <c r="H365" s="17"/>
      <c r="I365" s="18" t="s">
        <v>98</v>
      </c>
    </row>
    <row r="366" spans="2:9" hidden="1" x14ac:dyDescent="0.25">
      <c r="B366" s="17">
        <v>4</v>
      </c>
      <c r="C366" s="17" t="s">
        <v>97</v>
      </c>
      <c r="D366" s="17" t="s">
        <v>41</v>
      </c>
      <c r="E366" s="18" t="s">
        <v>2369</v>
      </c>
      <c r="F366" s="17"/>
      <c r="G366" s="17"/>
      <c r="H366" s="17"/>
      <c r="I366" s="18" t="s">
        <v>98</v>
      </c>
    </row>
    <row r="367" spans="2:9" hidden="1" x14ac:dyDescent="0.25">
      <c r="B367" s="17">
        <v>4</v>
      </c>
      <c r="C367" s="17" t="s">
        <v>97</v>
      </c>
      <c r="D367" s="17" t="s">
        <v>30</v>
      </c>
      <c r="E367" s="18" t="s">
        <v>2369</v>
      </c>
      <c r="F367" s="17"/>
      <c r="G367" s="17"/>
      <c r="H367" s="17"/>
      <c r="I367" s="18" t="s">
        <v>808</v>
      </c>
    </row>
    <row r="368" spans="2:9" hidden="1" x14ac:dyDescent="0.25">
      <c r="B368" s="17">
        <v>4</v>
      </c>
      <c r="C368" s="17" t="s">
        <v>97</v>
      </c>
      <c r="D368" s="17" t="s">
        <v>30</v>
      </c>
      <c r="E368" s="18" t="s">
        <v>2369</v>
      </c>
      <c r="F368" s="17"/>
      <c r="G368" s="17"/>
      <c r="H368" s="17"/>
      <c r="I368" s="18" t="s">
        <v>809</v>
      </c>
    </row>
    <row r="369" spans="2:9" hidden="1" x14ac:dyDescent="0.25">
      <c r="B369" s="17">
        <v>4</v>
      </c>
      <c r="C369" s="17" t="s">
        <v>810</v>
      </c>
      <c r="D369" s="17" t="s">
        <v>41</v>
      </c>
      <c r="E369" s="18" t="s">
        <v>2370</v>
      </c>
      <c r="F369" s="17"/>
      <c r="G369" s="17"/>
      <c r="H369" s="17"/>
      <c r="I369" s="18" t="s">
        <v>811</v>
      </c>
    </row>
    <row r="370" spans="2:9" hidden="1" x14ac:dyDescent="0.25">
      <c r="B370" s="17">
        <v>4</v>
      </c>
      <c r="C370" s="17" t="s">
        <v>812</v>
      </c>
      <c r="D370" s="17" t="s">
        <v>41</v>
      </c>
      <c r="E370" s="18" t="s">
        <v>2371</v>
      </c>
      <c r="F370" s="17"/>
      <c r="G370" s="17"/>
      <c r="H370" s="17"/>
      <c r="I370" s="18" t="s">
        <v>98</v>
      </c>
    </row>
    <row r="371" spans="2:9" hidden="1" x14ac:dyDescent="0.25">
      <c r="B371" s="17">
        <v>4</v>
      </c>
      <c r="C371" s="17" t="s">
        <v>99</v>
      </c>
      <c r="D371" s="17" t="s">
        <v>174</v>
      </c>
      <c r="E371" s="18" t="s">
        <v>2372</v>
      </c>
      <c r="F371" s="17"/>
      <c r="G371" s="17"/>
      <c r="H371" s="17"/>
      <c r="I371" s="18" t="s">
        <v>100</v>
      </c>
    </row>
    <row r="372" spans="2:9" hidden="1" x14ac:dyDescent="0.25">
      <c r="B372" s="17">
        <v>4</v>
      </c>
      <c r="C372" s="17" t="s">
        <v>99</v>
      </c>
      <c r="D372" s="17" t="s">
        <v>49</v>
      </c>
      <c r="E372" s="18" t="s">
        <v>2372</v>
      </c>
      <c r="F372" s="17"/>
      <c r="G372" s="17"/>
      <c r="H372" s="17"/>
      <c r="I372" s="18" t="s">
        <v>101</v>
      </c>
    </row>
    <row r="373" spans="2:9" hidden="1" x14ac:dyDescent="0.25">
      <c r="B373" s="17">
        <v>4</v>
      </c>
      <c r="C373" s="17" t="s">
        <v>99</v>
      </c>
      <c r="D373" s="17" t="s">
        <v>49</v>
      </c>
      <c r="E373" s="18" t="s">
        <v>2372</v>
      </c>
      <c r="F373" s="17"/>
      <c r="G373" s="17"/>
      <c r="H373" s="17"/>
      <c r="I373" s="18" t="s">
        <v>101</v>
      </c>
    </row>
    <row r="374" spans="2:9" hidden="1" x14ac:dyDescent="0.25">
      <c r="B374" s="17">
        <v>4</v>
      </c>
      <c r="C374" s="17" t="s">
        <v>99</v>
      </c>
      <c r="D374" s="17" t="s">
        <v>30</v>
      </c>
      <c r="E374" s="18" t="s">
        <v>2372</v>
      </c>
      <c r="F374" s="17"/>
      <c r="G374" s="17"/>
      <c r="H374" s="17"/>
      <c r="I374" s="18" t="s">
        <v>799</v>
      </c>
    </row>
    <row r="375" spans="2:9" hidden="1" x14ac:dyDescent="0.25">
      <c r="B375" s="17">
        <v>4</v>
      </c>
      <c r="C375" s="17" t="s">
        <v>99</v>
      </c>
      <c r="D375" s="17" t="s">
        <v>49</v>
      </c>
      <c r="E375" s="18" t="s">
        <v>2372</v>
      </c>
      <c r="F375" s="17"/>
      <c r="G375" s="17"/>
      <c r="H375" s="17"/>
      <c r="I375" s="18" t="s">
        <v>101</v>
      </c>
    </row>
    <row r="376" spans="2:9" hidden="1" x14ac:dyDescent="0.25">
      <c r="B376" s="17">
        <v>4</v>
      </c>
      <c r="C376" s="17" t="s">
        <v>99</v>
      </c>
      <c r="D376" s="17" t="s">
        <v>49</v>
      </c>
      <c r="E376" s="18" t="s">
        <v>2372</v>
      </c>
      <c r="F376" s="17"/>
      <c r="G376" s="17"/>
      <c r="H376" s="17"/>
      <c r="I376" s="18" t="s">
        <v>101</v>
      </c>
    </row>
    <row r="377" spans="2:9" hidden="1" x14ac:dyDescent="0.25">
      <c r="B377" s="17">
        <v>4</v>
      </c>
      <c r="C377" s="17" t="s">
        <v>813</v>
      </c>
      <c r="D377" s="17" t="s">
        <v>30</v>
      </c>
      <c r="E377" s="18" t="s">
        <v>2373</v>
      </c>
      <c r="F377" s="17"/>
      <c r="G377" s="17"/>
      <c r="H377" s="17"/>
      <c r="I377" s="18" t="s">
        <v>814</v>
      </c>
    </row>
    <row r="378" spans="2:9" hidden="1" x14ac:dyDescent="0.25">
      <c r="B378" s="17">
        <v>4</v>
      </c>
      <c r="C378" s="17" t="s">
        <v>815</v>
      </c>
      <c r="D378" s="17" t="s">
        <v>30</v>
      </c>
      <c r="E378" s="18" t="s">
        <v>2374</v>
      </c>
      <c r="F378" s="17"/>
      <c r="G378" s="17"/>
      <c r="H378" s="17"/>
      <c r="I378" s="18" t="s">
        <v>816</v>
      </c>
    </row>
    <row r="379" spans="2:9" hidden="1" x14ac:dyDescent="0.25">
      <c r="B379" s="17">
        <v>4</v>
      </c>
      <c r="C379" s="17" t="s">
        <v>817</v>
      </c>
      <c r="D379" s="17" t="s">
        <v>30</v>
      </c>
      <c r="E379" s="18" t="s">
        <v>2375</v>
      </c>
      <c r="F379" s="17"/>
      <c r="G379" s="17"/>
      <c r="H379" s="17"/>
      <c r="I379" s="18" t="s">
        <v>816</v>
      </c>
    </row>
    <row r="380" spans="2:9" hidden="1" x14ac:dyDescent="0.25">
      <c r="B380" s="17">
        <v>4</v>
      </c>
      <c r="C380" s="17" t="s">
        <v>818</v>
      </c>
      <c r="D380" s="17" t="s">
        <v>42</v>
      </c>
      <c r="E380" s="18" t="s">
        <v>2376</v>
      </c>
      <c r="F380" s="17"/>
      <c r="G380" s="17"/>
      <c r="H380" s="17"/>
      <c r="I380" s="18" t="s">
        <v>819</v>
      </c>
    </row>
    <row r="381" spans="2:9" hidden="1" x14ac:dyDescent="0.25">
      <c r="B381" s="17">
        <v>4</v>
      </c>
      <c r="C381" s="17" t="s">
        <v>428</v>
      </c>
      <c r="D381" s="17" t="s">
        <v>30</v>
      </c>
      <c r="E381" s="18" t="s">
        <v>2107</v>
      </c>
      <c r="F381" s="17"/>
      <c r="G381" s="17"/>
      <c r="H381" s="17"/>
      <c r="I381" s="18" t="s">
        <v>106</v>
      </c>
    </row>
    <row r="382" spans="2:9" hidden="1" x14ac:dyDescent="0.25">
      <c r="B382" s="17">
        <v>4</v>
      </c>
      <c r="C382" s="17" t="s">
        <v>820</v>
      </c>
      <c r="D382" s="17" t="s">
        <v>30</v>
      </c>
      <c r="E382" s="18" t="s">
        <v>2377</v>
      </c>
      <c r="F382" s="17"/>
      <c r="G382" s="17"/>
      <c r="H382" s="17"/>
      <c r="I382" s="18" t="s">
        <v>56</v>
      </c>
    </row>
    <row r="383" spans="2:9" hidden="1" x14ac:dyDescent="0.25">
      <c r="B383" s="17">
        <v>4</v>
      </c>
      <c r="C383" s="17" t="s">
        <v>821</v>
      </c>
      <c r="D383" s="17" t="s">
        <v>30</v>
      </c>
      <c r="E383" s="18" t="s">
        <v>2378</v>
      </c>
      <c r="F383" s="17"/>
      <c r="G383" s="17"/>
      <c r="H383" s="17"/>
      <c r="I383" s="18" t="s">
        <v>822</v>
      </c>
    </row>
    <row r="384" spans="2:9" hidden="1" x14ac:dyDescent="0.25">
      <c r="B384" s="17">
        <v>4</v>
      </c>
      <c r="C384" s="17" t="s">
        <v>823</v>
      </c>
      <c r="D384" s="17" t="s">
        <v>40</v>
      </c>
      <c r="E384" s="18" t="s">
        <v>2379</v>
      </c>
      <c r="F384" s="17"/>
      <c r="G384" s="17"/>
      <c r="H384" s="17"/>
      <c r="I384" s="18" t="s">
        <v>824</v>
      </c>
    </row>
    <row r="385" spans="2:9" hidden="1" x14ac:dyDescent="0.25">
      <c r="B385" s="17">
        <v>4</v>
      </c>
      <c r="C385" s="17" t="s">
        <v>825</v>
      </c>
      <c r="D385" s="17" t="s">
        <v>30</v>
      </c>
      <c r="E385" s="18" t="s">
        <v>2380</v>
      </c>
      <c r="F385" s="17"/>
      <c r="G385" s="17"/>
      <c r="H385" s="17"/>
      <c r="I385" s="18" t="s">
        <v>826</v>
      </c>
    </row>
    <row r="386" spans="2:9" hidden="1" x14ac:dyDescent="0.25">
      <c r="B386" s="17">
        <v>4</v>
      </c>
      <c r="C386" s="17" t="s">
        <v>825</v>
      </c>
      <c r="D386" s="17" t="s">
        <v>30</v>
      </c>
      <c r="E386" s="18" t="s">
        <v>2380</v>
      </c>
      <c r="F386" s="17"/>
      <c r="G386" s="17"/>
      <c r="H386" s="17"/>
      <c r="I386" s="18" t="s">
        <v>826</v>
      </c>
    </row>
    <row r="387" spans="2:9" hidden="1" x14ac:dyDescent="0.25">
      <c r="B387" s="17">
        <v>4</v>
      </c>
      <c r="C387" s="17" t="s">
        <v>827</v>
      </c>
      <c r="D387" s="17" t="s">
        <v>30</v>
      </c>
      <c r="E387" s="18" t="s">
        <v>2381</v>
      </c>
      <c r="F387" s="17"/>
      <c r="G387" s="17"/>
      <c r="H387" s="17"/>
      <c r="I387" s="18" t="s">
        <v>828</v>
      </c>
    </row>
    <row r="388" spans="2:9" hidden="1" x14ac:dyDescent="0.25">
      <c r="B388" s="17">
        <v>4</v>
      </c>
      <c r="C388" s="17" t="s">
        <v>829</v>
      </c>
      <c r="D388" s="17" t="s">
        <v>30</v>
      </c>
      <c r="E388" s="18" t="s">
        <v>2382</v>
      </c>
      <c r="F388" s="17"/>
      <c r="G388" s="17"/>
      <c r="H388" s="17"/>
      <c r="I388" s="18" t="s">
        <v>830</v>
      </c>
    </row>
    <row r="389" spans="2:9" hidden="1" x14ac:dyDescent="0.25">
      <c r="B389" s="17">
        <v>3</v>
      </c>
      <c r="C389" s="17" t="s">
        <v>831</v>
      </c>
      <c r="D389" s="17" t="s">
        <v>30</v>
      </c>
      <c r="E389" s="18" t="s">
        <v>2383</v>
      </c>
      <c r="F389" s="17"/>
      <c r="G389" s="17"/>
      <c r="H389" s="17"/>
      <c r="I389" s="18" t="s">
        <v>832</v>
      </c>
    </row>
    <row r="390" spans="2:9" hidden="1" x14ac:dyDescent="0.25">
      <c r="B390" s="17">
        <v>4</v>
      </c>
      <c r="C390" s="17" t="s">
        <v>833</v>
      </c>
      <c r="D390" s="17" t="s">
        <v>42</v>
      </c>
      <c r="E390" s="18" t="s">
        <v>2384</v>
      </c>
      <c r="F390" s="17"/>
      <c r="G390" s="17"/>
      <c r="H390" s="17"/>
      <c r="I390" s="18" t="s">
        <v>834</v>
      </c>
    </row>
    <row r="391" spans="2:9" hidden="1" x14ac:dyDescent="0.25">
      <c r="B391" s="17">
        <v>4</v>
      </c>
      <c r="C391" s="17" t="s">
        <v>835</v>
      </c>
      <c r="D391" s="17" t="s">
        <v>42</v>
      </c>
      <c r="E391" s="18" t="s">
        <v>2385</v>
      </c>
      <c r="F391" s="17"/>
      <c r="G391" s="17"/>
      <c r="H391" s="17"/>
      <c r="I391" s="18" t="s">
        <v>110</v>
      </c>
    </row>
    <row r="392" spans="2:9" hidden="1" x14ac:dyDescent="0.25">
      <c r="B392" s="17">
        <v>4</v>
      </c>
      <c r="C392" s="17" t="s">
        <v>836</v>
      </c>
      <c r="D392" s="17" t="s">
        <v>30</v>
      </c>
      <c r="E392" s="18" t="s">
        <v>2386</v>
      </c>
      <c r="F392" s="17"/>
      <c r="G392" s="17"/>
      <c r="H392" s="17"/>
      <c r="I392" s="18" t="s">
        <v>837</v>
      </c>
    </row>
    <row r="393" spans="2:9" hidden="1" x14ac:dyDescent="0.25">
      <c r="B393" s="17">
        <v>4</v>
      </c>
      <c r="C393" s="17" t="s">
        <v>838</v>
      </c>
      <c r="D393" s="17" t="s">
        <v>40</v>
      </c>
      <c r="E393" s="18" t="s">
        <v>2387</v>
      </c>
      <c r="F393" s="17"/>
      <c r="G393" s="17"/>
      <c r="H393" s="17"/>
      <c r="I393" s="18" t="s">
        <v>839</v>
      </c>
    </row>
    <row r="394" spans="2:9" hidden="1" x14ac:dyDescent="0.25">
      <c r="B394" s="17">
        <v>5</v>
      </c>
      <c r="C394" s="17" t="s">
        <v>840</v>
      </c>
      <c r="D394" s="17" t="s">
        <v>30</v>
      </c>
      <c r="E394" s="18" t="s">
        <v>2388</v>
      </c>
      <c r="F394" s="17"/>
      <c r="G394" s="17"/>
      <c r="H394" s="17"/>
      <c r="I394" s="18" t="s">
        <v>841</v>
      </c>
    </row>
    <row r="395" spans="2:9" hidden="1" x14ac:dyDescent="0.25">
      <c r="B395" s="17">
        <v>5</v>
      </c>
      <c r="C395" s="17" t="s">
        <v>842</v>
      </c>
      <c r="D395" s="17" t="s">
        <v>40</v>
      </c>
      <c r="E395" s="18" t="s">
        <v>2389</v>
      </c>
      <c r="F395" s="17"/>
      <c r="G395" s="17"/>
      <c r="H395" s="17"/>
      <c r="I395" s="18" t="s">
        <v>843</v>
      </c>
    </row>
    <row r="396" spans="2:9" hidden="1" x14ac:dyDescent="0.25">
      <c r="B396" s="17">
        <v>4</v>
      </c>
      <c r="C396" s="17" t="s">
        <v>817</v>
      </c>
      <c r="D396" s="17" t="s">
        <v>30</v>
      </c>
      <c r="E396" s="18" t="s">
        <v>2375</v>
      </c>
      <c r="F396" s="17"/>
      <c r="G396" s="17"/>
      <c r="H396" s="17"/>
      <c r="I396" s="18" t="s">
        <v>816</v>
      </c>
    </row>
    <row r="397" spans="2:9" hidden="1" x14ac:dyDescent="0.25">
      <c r="B397" s="17">
        <v>4</v>
      </c>
      <c r="C397" s="17" t="s">
        <v>844</v>
      </c>
      <c r="D397" s="17" t="s">
        <v>30</v>
      </c>
      <c r="E397" s="18" t="s">
        <v>2390</v>
      </c>
      <c r="F397" s="17"/>
      <c r="G397" s="17"/>
      <c r="H397" s="17"/>
      <c r="I397" s="18" t="s">
        <v>816</v>
      </c>
    </row>
    <row r="398" spans="2:9" hidden="1" x14ac:dyDescent="0.25">
      <c r="B398" s="17">
        <v>4</v>
      </c>
      <c r="C398" s="17" t="s">
        <v>845</v>
      </c>
      <c r="D398" s="17" t="s">
        <v>30</v>
      </c>
      <c r="E398" s="18" t="s">
        <v>2391</v>
      </c>
      <c r="F398" s="17"/>
      <c r="G398" s="17"/>
      <c r="H398" s="17"/>
      <c r="I398" s="18" t="s">
        <v>816</v>
      </c>
    </row>
    <row r="399" spans="2:9" hidden="1" x14ac:dyDescent="0.25">
      <c r="B399" s="17">
        <v>4</v>
      </c>
      <c r="C399" s="17" t="s">
        <v>823</v>
      </c>
      <c r="D399" s="17" t="s">
        <v>40</v>
      </c>
      <c r="E399" s="18" t="s">
        <v>2379</v>
      </c>
      <c r="F399" s="17"/>
      <c r="G399" s="17"/>
      <c r="H399" s="17"/>
      <c r="I399" s="18" t="s">
        <v>824</v>
      </c>
    </row>
    <row r="400" spans="2:9" hidden="1" x14ac:dyDescent="0.25">
      <c r="B400" s="17">
        <v>4</v>
      </c>
      <c r="C400" s="17" t="s">
        <v>846</v>
      </c>
      <c r="D400" s="17" t="s">
        <v>30</v>
      </c>
      <c r="E400" s="18" t="s">
        <v>2392</v>
      </c>
      <c r="F400" s="17"/>
      <c r="G400" s="17"/>
      <c r="H400" s="17"/>
      <c r="I400" s="18" t="s">
        <v>847</v>
      </c>
    </row>
    <row r="401" spans="2:9" hidden="1" x14ac:dyDescent="0.25">
      <c r="B401" s="17">
        <v>3</v>
      </c>
      <c r="C401" s="17" t="s">
        <v>848</v>
      </c>
      <c r="D401" s="17" t="s">
        <v>30</v>
      </c>
      <c r="E401" s="18" t="s">
        <v>2393</v>
      </c>
      <c r="F401" s="17"/>
      <c r="G401" s="17"/>
      <c r="H401" s="17"/>
      <c r="I401" s="18" t="s">
        <v>849</v>
      </c>
    </row>
    <row r="402" spans="2:9" hidden="1" x14ac:dyDescent="0.25">
      <c r="B402" s="17">
        <v>4</v>
      </c>
      <c r="C402" s="17" t="s">
        <v>850</v>
      </c>
      <c r="D402" s="17" t="s">
        <v>30</v>
      </c>
      <c r="E402" s="18" t="s">
        <v>2394</v>
      </c>
      <c r="F402" s="17"/>
      <c r="G402" s="17"/>
      <c r="H402" s="17"/>
      <c r="I402" s="18" t="s">
        <v>851</v>
      </c>
    </row>
    <row r="403" spans="2:9" hidden="1" x14ac:dyDescent="0.25">
      <c r="B403" s="17">
        <v>4</v>
      </c>
      <c r="C403" s="17" t="s">
        <v>852</v>
      </c>
      <c r="D403" s="17" t="s">
        <v>30</v>
      </c>
      <c r="E403" s="18" t="s">
        <v>2395</v>
      </c>
      <c r="F403" s="17"/>
      <c r="G403" s="17"/>
      <c r="H403" s="17"/>
      <c r="I403" s="18" t="s">
        <v>853</v>
      </c>
    </row>
    <row r="404" spans="2:9" hidden="1" x14ac:dyDescent="0.25">
      <c r="B404" s="17">
        <v>4</v>
      </c>
      <c r="C404" s="17" t="s">
        <v>854</v>
      </c>
      <c r="D404" s="17" t="s">
        <v>42</v>
      </c>
      <c r="E404" s="18" t="s">
        <v>2396</v>
      </c>
      <c r="F404" s="17"/>
      <c r="G404" s="17"/>
      <c r="H404" s="17"/>
      <c r="I404" s="18" t="s">
        <v>344</v>
      </c>
    </row>
    <row r="405" spans="2:9" hidden="1" x14ac:dyDescent="0.25">
      <c r="B405" s="17">
        <v>4</v>
      </c>
      <c r="C405" s="17" t="s">
        <v>855</v>
      </c>
      <c r="D405" s="17" t="s">
        <v>40</v>
      </c>
      <c r="E405" s="18" t="s">
        <v>2397</v>
      </c>
      <c r="F405" s="17"/>
      <c r="G405" s="17"/>
      <c r="H405" s="17"/>
      <c r="I405" s="18" t="s">
        <v>856</v>
      </c>
    </row>
    <row r="406" spans="2:9" hidden="1" x14ac:dyDescent="0.25">
      <c r="B406" s="17">
        <v>5</v>
      </c>
      <c r="C406" s="17" t="s">
        <v>857</v>
      </c>
      <c r="D406" s="17" t="s">
        <v>30</v>
      </c>
      <c r="E406" s="18" t="s">
        <v>2398</v>
      </c>
      <c r="F406" s="17"/>
      <c r="G406" s="17"/>
      <c r="H406" s="17"/>
      <c r="I406" s="18" t="s">
        <v>858</v>
      </c>
    </row>
    <row r="407" spans="2:9" hidden="1" x14ac:dyDescent="0.25">
      <c r="B407" s="17">
        <v>5</v>
      </c>
      <c r="C407" s="17" t="s">
        <v>859</v>
      </c>
      <c r="D407" s="17" t="s">
        <v>40</v>
      </c>
      <c r="E407" s="18" t="s">
        <v>2399</v>
      </c>
      <c r="F407" s="17"/>
      <c r="G407" s="17"/>
      <c r="H407" s="17"/>
      <c r="I407" s="18" t="s">
        <v>860</v>
      </c>
    </row>
    <row r="408" spans="2:9" hidden="1" x14ac:dyDescent="0.25">
      <c r="B408" s="17">
        <v>4</v>
      </c>
      <c r="C408" s="17" t="s">
        <v>861</v>
      </c>
      <c r="D408" s="17" t="s">
        <v>30</v>
      </c>
      <c r="E408" s="18" t="s">
        <v>2400</v>
      </c>
      <c r="F408" s="17"/>
      <c r="G408" s="17"/>
      <c r="H408" s="17"/>
      <c r="I408" s="18" t="s">
        <v>862</v>
      </c>
    </row>
    <row r="409" spans="2:9" hidden="1" x14ac:dyDescent="0.25">
      <c r="B409" s="17">
        <v>5</v>
      </c>
      <c r="C409" s="17" t="s">
        <v>863</v>
      </c>
      <c r="D409" s="17" t="s">
        <v>30</v>
      </c>
      <c r="E409" s="18" t="s">
        <v>2401</v>
      </c>
      <c r="F409" s="17"/>
      <c r="G409" s="17"/>
      <c r="H409" s="17"/>
      <c r="I409" s="18" t="s">
        <v>864</v>
      </c>
    </row>
    <row r="410" spans="2:9" hidden="1" x14ac:dyDescent="0.25">
      <c r="B410" s="17">
        <v>5</v>
      </c>
      <c r="C410" s="17" t="s">
        <v>865</v>
      </c>
      <c r="D410" s="17" t="s">
        <v>30</v>
      </c>
      <c r="E410" s="18" t="s">
        <v>2402</v>
      </c>
      <c r="F410" s="17"/>
      <c r="G410" s="17"/>
      <c r="H410" s="17"/>
      <c r="I410" s="18" t="s">
        <v>866</v>
      </c>
    </row>
    <row r="411" spans="2:9" hidden="1" x14ac:dyDescent="0.25">
      <c r="B411" s="17">
        <v>5</v>
      </c>
      <c r="C411" s="17" t="s">
        <v>867</v>
      </c>
      <c r="D411" s="17" t="s">
        <v>30</v>
      </c>
      <c r="E411" s="18" t="s">
        <v>2403</v>
      </c>
      <c r="F411" s="17"/>
      <c r="G411" s="17"/>
      <c r="H411" s="17"/>
      <c r="I411" s="18" t="s">
        <v>868</v>
      </c>
    </row>
    <row r="412" spans="2:9" hidden="1" x14ac:dyDescent="0.25">
      <c r="B412" s="17">
        <v>5</v>
      </c>
      <c r="C412" s="17" t="s">
        <v>869</v>
      </c>
      <c r="D412" s="17" t="s">
        <v>42</v>
      </c>
      <c r="E412" s="18" t="s">
        <v>2404</v>
      </c>
      <c r="F412" s="17"/>
      <c r="G412" s="17"/>
      <c r="H412" s="17"/>
      <c r="I412" s="18" t="s">
        <v>870</v>
      </c>
    </row>
    <row r="413" spans="2:9" hidden="1" x14ac:dyDescent="0.25">
      <c r="B413" s="17">
        <v>5</v>
      </c>
      <c r="C413" s="17" t="s">
        <v>871</v>
      </c>
      <c r="D413" s="17" t="s">
        <v>30</v>
      </c>
      <c r="E413" s="18" t="s">
        <v>2405</v>
      </c>
      <c r="F413" s="17"/>
      <c r="G413" s="17"/>
      <c r="H413" s="17"/>
      <c r="I413" s="18" t="s">
        <v>872</v>
      </c>
    </row>
    <row r="414" spans="2:9" hidden="1" x14ac:dyDescent="0.25">
      <c r="B414" s="17">
        <v>5</v>
      </c>
      <c r="C414" s="17" t="s">
        <v>873</v>
      </c>
      <c r="D414" s="17" t="s">
        <v>40</v>
      </c>
      <c r="E414" s="18" t="s">
        <v>2406</v>
      </c>
      <c r="F414" s="17"/>
      <c r="G414" s="17"/>
      <c r="H414" s="17"/>
      <c r="I414" s="18" t="s">
        <v>874</v>
      </c>
    </row>
    <row r="415" spans="2:9" hidden="1" x14ac:dyDescent="0.25">
      <c r="B415" s="17">
        <v>4</v>
      </c>
      <c r="C415" s="17" t="s">
        <v>875</v>
      </c>
      <c r="D415" s="17" t="s">
        <v>30</v>
      </c>
      <c r="E415" s="18" t="s">
        <v>2407</v>
      </c>
      <c r="F415" s="17"/>
      <c r="G415" s="17"/>
      <c r="H415" s="17"/>
      <c r="I415" s="18" t="s">
        <v>876</v>
      </c>
    </row>
    <row r="416" spans="2:9" hidden="1" x14ac:dyDescent="0.25">
      <c r="B416" s="17">
        <v>4</v>
      </c>
      <c r="C416" s="17" t="s">
        <v>877</v>
      </c>
      <c r="D416" s="17" t="s">
        <v>30</v>
      </c>
      <c r="E416" s="18" t="s">
        <v>2408</v>
      </c>
      <c r="F416" s="17"/>
      <c r="G416" s="17"/>
      <c r="H416" s="17"/>
      <c r="I416" s="18" t="s">
        <v>878</v>
      </c>
    </row>
    <row r="417" spans="2:9" hidden="1" x14ac:dyDescent="0.25">
      <c r="B417" s="17">
        <v>4</v>
      </c>
      <c r="C417" s="17" t="s">
        <v>879</v>
      </c>
      <c r="D417" s="17" t="s">
        <v>30</v>
      </c>
      <c r="E417" s="18" t="s">
        <v>2409</v>
      </c>
      <c r="F417" s="17"/>
      <c r="G417" s="17"/>
      <c r="H417" s="17"/>
      <c r="I417" s="18" t="s">
        <v>853</v>
      </c>
    </row>
    <row r="418" spans="2:9" hidden="1" x14ac:dyDescent="0.25">
      <c r="B418" s="17">
        <v>4</v>
      </c>
      <c r="C418" s="17" t="s">
        <v>880</v>
      </c>
      <c r="D418" s="17" t="s">
        <v>40</v>
      </c>
      <c r="E418" s="18" t="s">
        <v>2410</v>
      </c>
      <c r="F418" s="17"/>
      <c r="G418" s="17"/>
      <c r="H418" s="17"/>
      <c r="I418" s="18" t="s">
        <v>881</v>
      </c>
    </row>
    <row r="419" spans="2:9" hidden="1" x14ac:dyDescent="0.25">
      <c r="B419" s="17">
        <v>4</v>
      </c>
      <c r="C419" s="17" t="s">
        <v>882</v>
      </c>
      <c r="D419" s="17" t="s">
        <v>30</v>
      </c>
      <c r="E419" s="18" t="s">
        <v>2411</v>
      </c>
      <c r="F419" s="17"/>
      <c r="G419" s="17"/>
      <c r="H419" s="17"/>
      <c r="I419" s="18" t="s">
        <v>883</v>
      </c>
    </row>
    <row r="420" spans="2:9" hidden="1" x14ac:dyDescent="0.25">
      <c r="B420" s="17">
        <v>4</v>
      </c>
      <c r="C420" s="17" t="s">
        <v>884</v>
      </c>
      <c r="D420" s="17" t="s">
        <v>30</v>
      </c>
      <c r="E420" s="18" t="s">
        <v>2412</v>
      </c>
      <c r="F420" s="17"/>
      <c r="G420" s="17"/>
      <c r="H420" s="17"/>
      <c r="I420" s="18" t="s">
        <v>885</v>
      </c>
    </row>
    <row r="421" spans="2:9" hidden="1" x14ac:dyDescent="0.25">
      <c r="B421" s="17">
        <v>4</v>
      </c>
      <c r="C421" s="17" t="s">
        <v>886</v>
      </c>
      <c r="D421" s="17" t="s">
        <v>30</v>
      </c>
      <c r="E421" s="18" t="s">
        <v>2413</v>
      </c>
      <c r="F421" s="17"/>
      <c r="G421" s="17"/>
      <c r="H421" s="17"/>
      <c r="I421" s="18" t="s">
        <v>887</v>
      </c>
    </row>
    <row r="422" spans="2:9" hidden="1" x14ac:dyDescent="0.25">
      <c r="B422" s="17">
        <v>5</v>
      </c>
      <c r="C422" s="17" t="s">
        <v>888</v>
      </c>
      <c r="D422" s="17" t="s">
        <v>30</v>
      </c>
      <c r="E422" s="18" t="s">
        <v>2414</v>
      </c>
      <c r="F422" s="17"/>
      <c r="G422" s="17"/>
      <c r="H422" s="17"/>
      <c r="I422" s="18" t="s">
        <v>889</v>
      </c>
    </row>
    <row r="423" spans="2:9" hidden="1" x14ac:dyDescent="0.25">
      <c r="B423" s="17">
        <v>5</v>
      </c>
      <c r="C423" s="17" t="s">
        <v>890</v>
      </c>
      <c r="D423" s="17" t="s">
        <v>30</v>
      </c>
      <c r="E423" s="18" t="s">
        <v>2415</v>
      </c>
      <c r="F423" s="17"/>
      <c r="G423" s="17"/>
      <c r="H423" s="17"/>
      <c r="I423" s="18" t="s">
        <v>891</v>
      </c>
    </row>
    <row r="424" spans="2:9" hidden="1" x14ac:dyDescent="0.25">
      <c r="B424" s="17">
        <v>5</v>
      </c>
      <c r="C424" s="17" t="s">
        <v>610</v>
      </c>
      <c r="D424" s="17" t="s">
        <v>30</v>
      </c>
      <c r="E424" s="18" t="s">
        <v>2416</v>
      </c>
      <c r="F424" s="17"/>
      <c r="G424" s="17"/>
      <c r="H424" s="17"/>
      <c r="I424" s="18" t="s">
        <v>611</v>
      </c>
    </row>
    <row r="425" spans="2:9" hidden="1" x14ac:dyDescent="0.25">
      <c r="B425" s="17">
        <v>4</v>
      </c>
      <c r="C425" s="17" t="s">
        <v>892</v>
      </c>
      <c r="D425" s="17" t="s">
        <v>30</v>
      </c>
      <c r="E425" s="18" t="s">
        <v>2417</v>
      </c>
      <c r="F425" s="17"/>
      <c r="G425" s="17"/>
      <c r="H425" s="17"/>
      <c r="I425" s="18" t="s">
        <v>159</v>
      </c>
    </row>
    <row r="426" spans="2:9" hidden="1" x14ac:dyDescent="0.25">
      <c r="B426" s="17">
        <v>5</v>
      </c>
      <c r="C426" s="17" t="s">
        <v>893</v>
      </c>
      <c r="D426" s="17" t="s">
        <v>40</v>
      </c>
      <c r="E426" s="18" t="s">
        <v>2418</v>
      </c>
      <c r="F426" s="17"/>
      <c r="G426" s="17"/>
      <c r="H426" s="17"/>
      <c r="I426" s="18" t="s">
        <v>894</v>
      </c>
    </row>
    <row r="427" spans="2:9" hidden="1" x14ac:dyDescent="0.25">
      <c r="B427" s="17">
        <v>5</v>
      </c>
      <c r="C427" s="17" t="s">
        <v>895</v>
      </c>
      <c r="D427" s="17" t="s">
        <v>30</v>
      </c>
      <c r="E427" s="18" t="s">
        <v>2419</v>
      </c>
      <c r="F427" s="17"/>
      <c r="G427" s="17"/>
      <c r="H427" s="17"/>
      <c r="I427" s="18" t="s">
        <v>412</v>
      </c>
    </row>
    <row r="428" spans="2:9" hidden="1" x14ac:dyDescent="0.25">
      <c r="B428" s="17">
        <v>4</v>
      </c>
      <c r="C428" s="17" t="s">
        <v>815</v>
      </c>
      <c r="D428" s="17" t="s">
        <v>30</v>
      </c>
      <c r="E428" s="18" t="s">
        <v>2374</v>
      </c>
      <c r="F428" s="17"/>
      <c r="G428" s="17"/>
      <c r="H428" s="17"/>
      <c r="I428" s="18" t="s">
        <v>816</v>
      </c>
    </row>
    <row r="429" spans="2:9" hidden="1" x14ac:dyDescent="0.25">
      <c r="B429" s="17">
        <v>4</v>
      </c>
      <c r="C429" s="17" t="s">
        <v>896</v>
      </c>
      <c r="D429" s="17" t="s">
        <v>30</v>
      </c>
      <c r="E429" s="18" t="s">
        <v>2420</v>
      </c>
      <c r="F429" s="17"/>
      <c r="G429" s="17"/>
      <c r="H429" s="17"/>
      <c r="I429" s="18" t="s">
        <v>897</v>
      </c>
    </row>
    <row r="430" spans="2:9" hidden="1" x14ac:dyDescent="0.25">
      <c r="B430" s="17">
        <v>4</v>
      </c>
      <c r="C430" s="17" t="s">
        <v>426</v>
      </c>
      <c r="D430" s="17" t="s">
        <v>40</v>
      </c>
      <c r="E430" s="18" t="s">
        <v>2105</v>
      </c>
      <c r="F430" s="17"/>
      <c r="G430" s="17"/>
      <c r="H430" s="17"/>
      <c r="I430" s="18" t="s">
        <v>427</v>
      </c>
    </row>
    <row r="431" spans="2:9" hidden="1" x14ac:dyDescent="0.25">
      <c r="B431" s="17">
        <v>4</v>
      </c>
      <c r="C431" s="17" t="s">
        <v>800</v>
      </c>
      <c r="D431" s="17" t="s">
        <v>30</v>
      </c>
      <c r="E431" s="18" t="s">
        <v>2421</v>
      </c>
      <c r="F431" s="17"/>
      <c r="G431" s="17"/>
      <c r="H431" s="17"/>
      <c r="I431" s="18" t="s">
        <v>106</v>
      </c>
    </row>
    <row r="432" spans="2:9" hidden="1" x14ac:dyDescent="0.25">
      <c r="B432" s="17">
        <v>4</v>
      </c>
      <c r="C432" s="17" t="s">
        <v>898</v>
      </c>
      <c r="D432" s="17" t="s">
        <v>30</v>
      </c>
      <c r="E432" s="18" t="s">
        <v>2422</v>
      </c>
      <c r="F432" s="17"/>
      <c r="G432" s="17"/>
      <c r="H432" s="17"/>
      <c r="I432" s="18" t="s">
        <v>106</v>
      </c>
    </row>
    <row r="433" spans="2:9" hidden="1" x14ac:dyDescent="0.25">
      <c r="B433" s="17">
        <v>4</v>
      </c>
      <c r="C433" s="17" t="s">
        <v>107</v>
      </c>
      <c r="D433" s="17" t="s">
        <v>40</v>
      </c>
      <c r="E433" s="18" t="s">
        <v>2108</v>
      </c>
      <c r="F433" s="17"/>
      <c r="G433" s="17"/>
      <c r="H433" s="17"/>
      <c r="I433" s="18" t="s">
        <v>108</v>
      </c>
    </row>
    <row r="434" spans="2:9" hidden="1" x14ac:dyDescent="0.25">
      <c r="B434" s="17">
        <v>4</v>
      </c>
      <c r="C434" s="17" t="s">
        <v>899</v>
      </c>
      <c r="D434" s="17" t="s">
        <v>40</v>
      </c>
      <c r="E434" s="18" t="s">
        <v>2423</v>
      </c>
      <c r="F434" s="17"/>
      <c r="G434" s="17"/>
      <c r="H434" s="17"/>
      <c r="I434" s="18" t="s">
        <v>900</v>
      </c>
    </row>
    <row r="435" spans="2:9" hidden="1" x14ac:dyDescent="0.25">
      <c r="B435" s="17">
        <v>4</v>
      </c>
      <c r="C435" s="17" t="s">
        <v>55</v>
      </c>
      <c r="D435" s="17" t="s">
        <v>40</v>
      </c>
      <c r="E435" s="18" t="s">
        <v>2109</v>
      </c>
      <c r="F435" s="17"/>
      <c r="G435" s="17"/>
      <c r="H435" s="17"/>
      <c r="I435" s="18" t="s">
        <v>56</v>
      </c>
    </row>
    <row r="436" spans="2:9" hidden="1" x14ac:dyDescent="0.25">
      <c r="B436" s="17">
        <v>4</v>
      </c>
      <c r="C436" s="17" t="s">
        <v>901</v>
      </c>
      <c r="D436" s="17" t="s">
        <v>42</v>
      </c>
      <c r="E436" s="18" t="s">
        <v>2424</v>
      </c>
      <c r="F436" s="17"/>
      <c r="G436" s="17"/>
      <c r="H436" s="17"/>
      <c r="I436" s="18" t="s">
        <v>644</v>
      </c>
    </row>
    <row r="437" spans="2:9" hidden="1" x14ac:dyDescent="0.25">
      <c r="B437" s="17">
        <v>4</v>
      </c>
      <c r="C437" s="17" t="s">
        <v>902</v>
      </c>
      <c r="D437" s="17" t="s">
        <v>42</v>
      </c>
      <c r="E437" s="18" t="s">
        <v>2425</v>
      </c>
      <c r="F437" s="17"/>
      <c r="G437" s="17"/>
      <c r="H437" s="17"/>
      <c r="I437" s="18" t="s">
        <v>644</v>
      </c>
    </row>
    <row r="438" spans="2:9" hidden="1" x14ac:dyDescent="0.25">
      <c r="B438" s="17">
        <v>4</v>
      </c>
      <c r="C438" s="17" t="s">
        <v>903</v>
      </c>
      <c r="D438" s="17" t="s">
        <v>30</v>
      </c>
      <c r="E438" s="18" t="s">
        <v>2426</v>
      </c>
      <c r="F438" s="17"/>
      <c r="G438" s="17"/>
      <c r="H438" s="17"/>
      <c r="I438" s="18" t="s">
        <v>464</v>
      </c>
    </row>
    <row r="439" spans="2:9" hidden="1" x14ac:dyDescent="0.25">
      <c r="B439" s="17">
        <v>3</v>
      </c>
      <c r="C439" s="17" t="s">
        <v>904</v>
      </c>
      <c r="D439" s="17" t="s">
        <v>30</v>
      </c>
      <c r="E439" s="18" t="s">
        <v>2427</v>
      </c>
      <c r="F439" s="17"/>
      <c r="G439" s="17"/>
      <c r="H439" s="17"/>
      <c r="I439" s="18" t="s">
        <v>905</v>
      </c>
    </row>
    <row r="440" spans="2:9" hidden="1" x14ac:dyDescent="0.25">
      <c r="B440" s="17">
        <v>4</v>
      </c>
      <c r="C440" s="17" t="s">
        <v>906</v>
      </c>
      <c r="D440" s="17" t="s">
        <v>30</v>
      </c>
      <c r="E440" s="18" t="s">
        <v>2428</v>
      </c>
      <c r="F440" s="17"/>
      <c r="G440" s="17"/>
      <c r="H440" s="17"/>
      <c r="I440" s="18" t="s">
        <v>907</v>
      </c>
    </row>
    <row r="441" spans="2:9" hidden="1" x14ac:dyDescent="0.25">
      <c r="B441" s="17">
        <v>4</v>
      </c>
      <c r="C441" s="17" t="s">
        <v>908</v>
      </c>
      <c r="D441" s="17" t="s">
        <v>42</v>
      </c>
      <c r="E441" s="18" t="s">
        <v>2429</v>
      </c>
      <c r="F441" s="17"/>
      <c r="G441" s="17"/>
      <c r="H441" s="17"/>
      <c r="I441" s="18" t="s">
        <v>909</v>
      </c>
    </row>
    <row r="442" spans="2:9" hidden="1" x14ac:dyDescent="0.25">
      <c r="B442" s="17">
        <v>4</v>
      </c>
      <c r="C442" s="17" t="s">
        <v>908</v>
      </c>
      <c r="D442" s="17" t="s">
        <v>42</v>
      </c>
      <c r="E442" s="18" t="s">
        <v>2429</v>
      </c>
      <c r="F442" s="17"/>
      <c r="G442" s="17"/>
      <c r="H442" s="17"/>
      <c r="I442" s="18" t="s">
        <v>910</v>
      </c>
    </row>
    <row r="443" spans="2:9" hidden="1" x14ac:dyDescent="0.25">
      <c r="B443" s="17">
        <v>4</v>
      </c>
      <c r="C443" s="17" t="s">
        <v>911</v>
      </c>
      <c r="D443" s="17" t="s">
        <v>30</v>
      </c>
      <c r="E443" s="18" t="s">
        <v>2430</v>
      </c>
      <c r="F443" s="17"/>
      <c r="G443" s="17"/>
      <c r="H443" s="17"/>
      <c r="I443" s="18" t="s">
        <v>912</v>
      </c>
    </row>
    <row r="444" spans="2:9" hidden="1" x14ac:dyDescent="0.25">
      <c r="B444" s="17">
        <v>4</v>
      </c>
      <c r="C444" s="17" t="s">
        <v>913</v>
      </c>
      <c r="D444" s="17" t="s">
        <v>30</v>
      </c>
      <c r="E444" s="18" t="s">
        <v>2431</v>
      </c>
      <c r="F444" s="17"/>
      <c r="G444" s="17"/>
      <c r="H444" s="17"/>
      <c r="I444" s="18" t="s">
        <v>914</v>
      </c>
    </row>
    <row r="445" spans="2:9" hidden="1" x14ac:dyDescent="0.25">
      <c r="B445" s="17">
        <v>4</v>
      </c>
      <c r="C445" s="17" t="s">
        <v>915</v>
      </c>
      <c r="D445" s="17" t="s">
        <v>30</v>
      </c>
      <c r="E445" s="18" t="s">
        <v>2432</v>
      </c>
      <c r="F445" s="17"/>
      <c r="G445" s="17"/>
      <c r="H445" s="17"/>
      <c r="I445" s="18" t="s">
        <v>916</v>
      </c>
    </row>
    <row r="446" spans="2:9" hidden="1" x14ac:dyDescent="0.25">
      <c r="B446" s="17">
        <v>4</v>
      </c>
      <c r="C446" s="17" t="s">
        <v>917</v>
      </c>
      <c r="D446" s="17" t="s">
        <v>30</v>
      </c>
      <c r="E446" s="18" t="s">
        <v>2433</v>
      </c>
      <c r="F446" s="17"/>
      <c r="G446" s="17"/>
      <c r="H446" s="17"/>
      <c r="I446" s="18" t="s">
        <v>918</v>
      </c>
    </row>
    <row r="447" spans="2:9" hidden="1" x14ac:dyDescent="0.25">
      <c r="B447" s="17">
        <v>3</v>
      </c>
      <c r="C447" s="17" t="s">
        <v>919</v>
      </c>
      <c r="D447" s="17" t="s">
        <v>30</v>
      </c>
      <c r="E447" s="18" t="s">
        <v>2434</v>
      </c>
      <c r="F447" s="17"/>
      <c r="G447" s="17"/>
      <c r="H447" s="17"/>
      <c r="I447" s="18" t="s">
        <v>920</v>
      </c>
    </row>
    <row r="448" spans="2:9" hidden="1" x14ac:dyDescent="0.25">
      <c r="B448" s="17">
        <v>4</v>
      </c>
      <c r="C448" s="17" t="s">
        <v>921</v>
      </c>
      <c r="D448" s="17" t="s">
        <v>30</v>
      </c>
      <c r="E448" s="18" t="s">
        <v>2435</v>
      </c>
      <c r="F448" s="17"/>
      <c r="G448" s="17"/>
      <c r="H448" s="17"/>
      <c r="I448" s="18" t="s">
        <v>922</v>
      </c>
    </row>
    <row r="449" spans="2:9" hidden="1" x14ac:dyDescent="0.25">
      <c r="B449" s="17">
        <v>4</v>
      </c>
      <c r="C449" s="17" t="s">
        <v>921</v>
      </c>
      <c r="D449" s="17" t="s">
        <v>30</v>
      </c>
      <c r="E449" s="18" t="s">
        <v>2435</v>
      </c>
      <c r="F449" s="17"/>
      <c r="G449" s="17"/>
      <c r="H449" s="17"/>
      <c r="I449" s="18" t="s">
        <v>923</v>
      </c>
    </row>
    <row r="450" spans="2:9" hidden="1" x14ac:dyDescent="0.25">
      <c r="B450" s="17">
        <v>4</v>
      </c>
      <c r="C450" s="17" t="s">
        <v>924</v>
      </c>
      <c r="D450" s="17" t="s">
        <v>30</v>
      </c>
      <c r="E450" s="18" t="s">
        <v>2436</v>
      </c>
      <c r="F450" s="17"/>
      <c r="G450" s="17"/>
      <c r="H450" s="17"/>
      <c r="I450" s="18" t="s">
        <v>925</v>
      </c>
    </row>
    <row r="451" spans="2:9" hidden="1" x14ac:dyDescent="0.25">
      <c r="B451" s="17">
        <v>5</v>
      </c>
      <c r="C451" s="17" t="s">
        <v>926</v>
      </c>
      <c r="D451" s="17" t="s">
        <v>42</v>
      </c>
      <c r="E451" s="18" t="s">
        <v>2437</v>
      </c>
      <c r="F451" s="17"/>
      <c r="G451" s="17"/>
      <c r="H451" s="17"/>
      <c r="I451" s="18" t="s">
        <v>52</v>
      </c>
    </row>
    <row r="452" spans="2:9" hidden="1" x14ac:dyDescent="0.25">
      <c r="B452" s="17">
        <v>5</v>
      </c>
      <c r="C452" s="17" t="s">
        <v>927</v>
      </c>
      <c r="D452" s="17" t="s">
        <v>30</v>
      </c>
      <c r="E452" s="18" t="s">
        <v>2438</v>
      </c>
      <c r="F452" s="17"/>
      <c r="G452" s="17"/>
      <c r="H452" s="17"/>
      <c r="I452" s="18" t="s">
        <v>928</v>
      </c>
    </row>
    <row r="453" spans="2:9" hidden="1" x14ac:dyDescent="0.25">
      <c r="B453" s="17">
        <v>5</v>
      </c>
      <c r="C453" s="17" t="s">
        <v>929</v>
      </c>
      <c r="D453" s="17" t="s">
        <v>30</v>
      </c>
      <c r="E453" s="18" t="s">
        <v>2439</v>
      </c>
      <c r="F453" s="17"/>
      <c r="G453" s="17"/>
      <c r="H453" s="17"/>
      <c r="I453" s="18" t="s">
        <v>930</v>
      </c>
    </row>
    <row r="454" spans="2:9" hidden="1" x14ac:dyDescent="0.25">
      <c r="B454" s="17">
        <v>5</v>
      </c>
      <c r="C454" s="17" t="s">
        <v>931</v>
      </c>
      <c r="D454" s="17" t="s">
        <v>30</v>
      </c>
      <c r="E454" s="18" t="s">
        <v>2440</v>
      </c>
      <c r="F454" s="17"/>
      <c r="G454" s="17"/>
      <c r="H454" s="17"/>
      <c r="I454" s="18" t="s">
        <v>828</v>
      </c>
    </row>
    <row r="455" spans="2:9" hidden="1" x14ac:dyDescent="0.25">
      <c r="B455" s="17">
        <v>5</v>
      </c>
      <c r="C455" s="17" t="s">
        <v>103</v>
      </c>
      <c r="D455" s="17" t="s">
        <v>30</v>
      </c>
      <c r="E455" s="18" t="s">
        <v>2363</v>
      </c>
      <c r="F455" s="17"/>
      <c r="G455" s="17"/>
      <c r="H455" s="17"/>
      <c r="I455" s="18" t="s">
        <v>104</v>
      </c>
    </row>
    <row r="456" spans="2:9" hidden="1" x14ac:dyDescent="0.25">
      <c r="B456" s="17">
        <v>5</v>
      </c>
      <c r="C456" s="17" t="s">
        <v>898</v>
      </c>
      <c r="D456" s="17" t="s">
        <v>30</v>
      </c>
      <c r="E456" s="18" t="s">
        <v>2441</v>
      </c>
      <c r="F456" s="17"/>
      <c r="G456" s="17"/>
      <c r="H456" s="17"/>
      <c r="I456" s="18" t="s">
        <v>106</v>
      </c>
    </row>
    <row r="457" spans="2:9" hidden="1" x14ac:dyDescent="0.25">
      <c r="B457" s="17">
        <v>5</v>
      </c>
      <c r="C457" s="17" t="s">
        <v>107</v>
      </c>
      <c r="D457" s="17" t="s">
        <v>40</v>
      </c>
      <c r="E457" s="18" t="s">
        <v>2101</v>
      </c>
      <c r="F457" s="17"/>
      <c r="G457" s="17"/>
      <c r="H457" s="17"/>
      <c r="I457" s="18" t="s">
        <v>108</v>
      </c>
    </row>
    <row r="458" spans="2:9" hidden="1" x14ac:dyDescent="0.25">
      <c r="B458" s="17">
        <v>5</v>
      </c>
      <c r="C458" s="17" t="s">
        <v>932</v>
      </c>
      <c r="D458" s="17" t="s">
        <v>43</v>
      </c>
      <c r="E458" s="18" t="s">
        <v>2442</v>
      </c>
      <c r="F458" s="17"/>
      <c r="G458" s="17"/>
      <c r="H458" s="17"/>
      <c r="I458" s="18" t="s">
        <v>805</v>
      </c>
    </row>
    <row r="459" spans="2:9" hidden="1" x14ac:dyDescent="0.25">
      <c r="B459" s="17">
        <v>4</v>
      </c>
      <c r="C459" s="17" t="s">
        <v>933</v>
      </c>
      <c r="D459" s="17" t="s">
        <v>30</v>
      </c>
      <c r="E459" s="18" t="s">
        <v>2443</v>
      </c>
      <c r="F459" s="17"/>
      <c r="G459" s="17"/>
      <c r="H459" s="17"/>
      <c r="I459" s="18" t="s">
        <v>934</v>
      </c>
    </row>
    <row r="460" spans="2:9" hidden="1" x14ac:dyDescent="0.25">
      <c r="B460" s="17">
        <v>5</v>
      </c>
      <c r="C460" s="17" t="s">
        <v>775</v>
      </c>
      <c r="D460" s="17" t="s">
        <v>42</v>
      </c>
      <c r="E460" s="18" t="s">
        <v>2340</v>
      </c>
      <c r="F460" s="17"/>
      <c r="G460" s="17"/>
      <c r="H460" s="17"/>
      <c r="I460" s="18" t="s">
        <v>74</v>
      </c>
    </row>
    <row r="461" spans="2:9" hidden="1" x14ac:dyDescent="0.25">
      <c r="B461" s="17">
        <v>6</v>
      </c>
      <c r="C461" s="17" t="s">
        <v>75</v>
      </c>
      <c r="D461" s="17" t="s">
        <v>30</v>
      </c>
      <c r="E461" s="18" t="s">
        <v>2341</v>
      </c>
      <c r="F461" s="17"/>
      <c r="G461" s="17"/>
      <c r="H461" s="17"/>
      <c r="I461" s="18" t="s">
        <v>76</v>
      </c>
    </row>
    <row r="462" spans="2:9" hidden="1" x14ac:dyDescent="0.25">
      <c r="B462" s="17">
        <v>5</v>
      </c>
      <c r="C462" s="17" t="s">
        <v>775</v>
      </c>
      <c r="D462" s="17" t="s">
        <v>42</v>
      </c>
      <c r="E462" s="18" t="s">
        <v>2340</v>
      </c>
      <c r="F462" s="17"/>
      <c r="G462" s="17"/>
      <c r="H462" s="17"/>
      <c r="I462" s="18" t="s">
        <v>74</v>
      </c>
    </row>
    <row r="463" spans="2:9" hidden="1" x14ac:dyDescent="0.25">
      <c r="B463" s="17">
        <v>6</v>
      </c>
      <c r="C463" s="17" t="s">
        <v>75</v>
      </c>
      <c r="D463" s="17" t="s">
        <v>30</v>
      </c>
      <c r="E463" s="18" t="s">
        <v>2341</v>
      </c>
      <c r="F463" s="17"/>
      <c r="G463" s="17"/>
      <c r="H463" s="17"/>
      <c r="I463" s="18" t="s">
        <v>76</v>
      </c>
    </row>
    <row r="464" spans="2:9" hidden="1" x14ac:dyDescent="0.25">
      <c r="B464" s="17">
        <v>5</v>
      </c>
      <c r="C464" s="17" t="s">
        <v>935</v>
      </c>
      <c r="D464" s="17" t="s">
        <v>42</v>
      </c>
      <c r="E464" s="18" t="s">
        <v>2444</v>
      </c>
      <c r="F464" s="17"/>
      <c r="G464" s="17"/>
      <c r="H464" s="17"/>
      <c r="I464" s="18" t="s">
        <v>52</v>
      </c>
    </row>
    <row r="465" spans="2:9" hidden="1" x14ac:dyDescent="0.25">
      <c r="B465" s="17">
        <v>5</v>
      </c>
      <c r="C465" s="17" t="s">
        <v>936</v>
      </c>
      <c r="D465" s="17" t="s">
        <v>42</v>
      </c>
      <c r="E465" s="18" t="s">
        <v>2445</v>
      </c>
      <c r="F465" s="17"/>
      <c r="G465" s="17"/>
      <c r="H465" s="17"/>
      <c r="I465" s="18" t="s">
        <v>52</v>
      </c>
    </row>
    <row r="466" spans="2:9" hidden="1" x14ac:dyDescent="0.25">
      <c r="B466" s="17">
        <v>5</v>
      </c>
      <c r="C466" s="17" t="s">
        <v>937</v>
      </c>
      <c r="D466" s="17" t="s">
        <v>30</v>
      </c>
      <c r="E466" s="18" t="s">
        <v>2446</v>
      </c>
      <c r="F466" s="17"/>
      <c r="G466" s="17"/>
      <c r="H466" s="17"/>
      <c r="I466" s="18" t="s">
        <v>938</v>
      </c>
    </row>
    <row r="467" spans="2:9" hidden="1" x14ac:dyDescent="0.25">
      <c r="B467" s="17">
        <v>5</v>
      </c>
      <c r="C467" s="17" t="s">
        <v>939</v>
      </c>
      <c r="D467" s="17" t="s">
        <v>30</v>
      </c>
      <c r="E467" s="18" t="s">
        <v>2447</v>
      </c>
      <c r="F467" s="17"/>
      <c r="G467" s="17"/>
      <c r="H467" s="17"/>
      <c r="I467" s="18" t="s">
        <v>940</v>
      </c>
    </row>
    <row r="468" spans="2:9" hidden="1" x14ac:dyDescent="0.25">
      <c r="B468" s="17">
        <v>5</v>
      </c>
      <c r="C468" s="17" t="s">
        <v>931</v>
      </c>
      <c r="D468" s="17" t="s">
        <v>30</v>
      </c>
      <c r="E468" s="18" t="s">
        <v>2440</v>
      </c>
      <c r="F468" s="17"/>
      <c r="G468" s="17"/>
      <c r="H468" s="17"/>
      <c r="I468" s="18" t="s">
        <v>828</v>
      </c>
    </row>
    <row r="469" spans="2:9" hidden="1" x14ac:dyDescent="0.25">
      <c r="B469" s="17">
        <v>5</v>
      </c>
      <c r="C469" s="17" t="s">
        <v>103</v>
      </c>
      <c r="D469" s="17" t="s">
        <v>30</v>
      </c>
      <c r="E469" s="18" t="s">
        <v>2363</v>
      </c>
      <c r="F469" s="17"/>
      <c r="G469" s="17"/>
      <c r="H469" s="17"/>
      <c r="I469" s="18" t="s">
        <v>104</v>
      </c>
    </row>
    <row r="470" spans="2:9" hidden="1" x14ac:dyDescent="0.25">
      <c r="B470" s="17">
        <v>5</v>
      </c>
      <c r="C470" s="17" t="s">
        <v>898</v>
      </c>
      <c r="D470" s="17" t="s">
        <v>30</v>
      </c>
      <c r="E470" s="18" t="s">
        <v>2441</v>
      </c>
      <c r="F470" s="17"/>
      <c r="G470" s="17"/>
      <c r="H470" s="17"/>
      <c r="I470" s="18" t="s">
        <v>106</v>
      </c>
    </row>
    <row r="471" spans="2:9" hidden="1" x14ac:dyDescent="0.25">
      <c r="B471" s="17">
        <v>5</v>
      </c>
      <c r="C471" s="17" t="s">
        <v>107</v>
      </c>
      <c r="D471" s="17" t="s">
        <v>40</v>
      </c>
      <c r="E471" s="18" t="s">
        <v>2101</v>
      </c>
      <c r="F471" s="17"/>
      <c r="G471" s="17"/>
      <c r="H471" s="17"/>
      <c r="I471" s="18" t="s">
        <v>108</v>
      </c>
    </row>
    <row r="472" spans="2:9" hidden="1" x14ac:dyDescent="0.25">
      <c r="B472" s="17">
        <v>5</v>
      </c>
      <c r="C472" s="17" t="s">
        <v>932</v>
      </c>
      <c r="D472" s="17" t="s">
        <v>43</v>
      </c>
      <c r="E472" s="18" t="s">
        <v>2442</v>
      </c>
      <c r="F472" s="17"/>
      <c r="G472" s="17"/>
      <c r="H472" s="17"/>
      <c r="I472" s="18" t="s">
        <v>805</v>
      </c>
    </row>
    <row r="473" spans="2:9" hidden="1" x14ac:dyDescent="0.25">
      <c r="B473" s="17">
        <v>4</v>
      </c>
      <c r="C473" s="17" t="s">
        <v>941</v>
      </c>
      <c r="D473" s="17" t="s">
        <v>30</v>
      </c>
      <c r="E473" s="18" t="s">
        <v>2448</v>
      </c>
      <c r="F473" s="17"/>
      <c r="G473" s="17"/>
      <c r="H473" s="17"/>
      <c r="I473" s="18" t="s">
        <v>942</v>
      </c>
    </row>
    <row r="474" spans="2:9" hidden="1" x14ac:dyDescent="0.25">
      <c r="B474" s="17">
        <v>4</v>
      </c>
      <c r="C474" s="17" t="s">
        <v>943</v>
      </c>
      <c r="D474" s="17" t="s">
        <v>30</v>
      </c>
      <c r="E474" s="18" t="s">
        <v>2449</v>
      </c>
      <c r="F474" s="17"/>
      <c r="G474" s="17"/>
      <c r="H474" s="17"/>
      <c r="I474" s="18" t="s">
        <v>944</v>
      </c>
    </row>
    <row r="475" spans="2:9" hidden="1" x14ac:dyDescent="0.25">
      <c r="B475" s="17">
        <v>4</v>
      </c>
      <c r="C475" s="17" t="s">
        <v>945</v>
      </c>
      <c r="D475" s="17" t="s">
        <v>40</v>
      </c>
      <c r="E475" s="18" t="s">
        <v>2450</v>
      </c>
      <c r="F475" s="17"/>
      <c r="G475" s="17"/>
      <c r="H475" s="17"/>
      <c r="I475" s="18" t="s">
        <v>946</v>
      </c>
    </row>
    <row r="476" spans="2:9" hidden="1" x14ac:dyDescent="0.25">
      <c r="B476" s="17">
        <v>5</v>
      </c>
      <c r="C476" s="17" t="s">
        <v>947</v>
      </c>
      <c r="D476" s="17" t="s">
        <v>30</v>
      </c>
      <c r="E476" s="18" t="s">
        <v>2451</v>
      </c>
      <c r="F476" s="17"/>
      <c r="G476" s="17"/>
      <c r="H476" s="17"/>
      <c r="I476" s="18" t="s">
        <v>155</v>
      </c>
    </row>
    <row r="477" spans="2:9" hidden="1" x14ac:dyDescent="0.25">
      <c r="B477" s="17">
        <v>6</v>
      </c>
      <c r="C477" s="17" t="s">
        <v>948</v>
      </c>
      <c r="D477" s="17" t="s">
        <v>30</v>
      </c>
      <c r="E477" s="18" t="s">
        <v>2452</v>
      </c>
      <c r="F477" s="17"/>
      <c r="G477" s="17"/>
      <c r="H477" s="17"/>
      <c r="I477" s="18" t="s">
        <v>153</v>
      </c>
    </row>
    <row r="478" spans="2:9" hidden="1" x14ac:dyDescent="0.25">
      <c r="B478" s="17">
        <v>6</v>
      </c>
      <c r="C478" s="17" t="s">
        <v>157</v>
      </c>
      <c r="D478" s="17" t="s">
        <v>30</v>
      </c>
      <c r="E478" s="18" t="s">
        <v>2453</v>
      </c>
      <c r="F478" s="17"/>
      <c r="G478" s="17"/>
      <c r="H478" s="17"/>
      <c r="I478" s="18" t="s">
        <v>158</v>
      </c>
    </row>
    <row r="479" spans="2:9" hidden="1" x14ac:dyDescent="0.25">
      <c r="B479" s="17">
        <v>5</v>
      </c>
      <c r="C479" s="17" t="s">
        <v>949</v>
      </c>
      <c r="D479" s="17" t="s">
        <v>30</v>
      </c>
      <c r="E479" s="18" t="s">
        <v>2454</v>
      </c>
      <c r="F479" s="17"/>
      <c r="G479" s="17"/>
      <c r="H479" s="17"/>
      <c r="I479" s="18" t="s">
        <v>155</v>
      </c>
    </row>
    <row r="480" spans="2:9" hidden="1" x14ac:dyDescent="0.25">
      <c r="B480" s="17">
        <v>6</v>
      </c>
      <c r="C480" s="17" t="s">
        <v>950</v>
      </c>
      <c r="D480" s="17" t="s">
        <v>30</v>
      </c>
      <c r="E480" s="18" t="s">
        <v>2455</v>
      </c>
      <c r="F480" s="17"/>
      <c r="G480" s="17"/>
      <c r="H480" s="17"/>
      <c r="I480" s="18" t="s">
        <v>153</v>
      </c>
    </row>
    <row r="481" spans="2:9" hidden="1" x14ac:dyDescent="0.25">
      <c r="B481" s="17">
        <v>6</v>
      </c>
      <c r="C481" s="17" t="s">
        <v>951</v>
      </c>
      <c r="D481" s="17" t="s">
        <v>30</v>
      </c>
      <c r="E481" s="18" t="s">
        <v>2456</v>
      </c>
      <c r="F481" s="17"/>
      <c r="G481" s="17"/>
      <c r="H481" s="17"/>
      <c r="I481" s="18" t="s">
        <v>160</v>
      </c>
    </row>
    <row r="482" spans="2:9" hidden="1" x14ac:dyDescent="0.25">
      <c r="B482" s="17">
        <v>5</v>
      </c>
      <c r="C482" s="17" t="s">
        <v>952</v>
      </c>
      <c r="D482" s="17" t="s">
        <v>30</v>
      </c>
      <c r="E482" s="18" t="s">
        <v>2457</v>
      </c>
      <c r="F482" s="17"/>
      <c r="G482" s="17"/>
      <c r="H482" s="17"/>
      <c r="I482" s="18" t="s">
        <v>155</v>
      </c>
    </row>
    <row r="483" spans="2:9" hidden="1" x14ac:dyDescent="0.25">
      <c r="B483" s="17">
        <v>6</v>
      </c>
      <c r="C483" s="17" t="s">
        <v>953</v>
      </c>
      <c r="D483" s="17" t="s">
        <v>30</v>
      </c>
      <c r="E483" s="18" t="s">
        <v>2458</v>
      </c>
      <c r="F483" s="17"/>
      <c r="G483" s="17"/>
      <c r="H483" s="17"/>
      <c r="I483" s="18" t="s">
        <v>153</v>
      </c>
    </row>
    <row r="484" spans="2:9" hidden="1" x14ac:dyDescent="0.25">
      <c r="B484" s="17">
        <v>6</v>
      </c>
      <c r="C484" s="17" t="s">
        <v>157</v>
      </c>
      <c r="D484" s="17" t="s">
        <v>30</v>
      </c>
      <c r="E484" s="18" t="s">
        <v>2453</v>
      </c>
      <c r="F484" s="17"/>
      <c r="G484" s="17"/>
      <c r="H484" s="17"/>
      <c r="I484" s="18" t="s">
        <v>158</v>
      </c>
    </row>
    <row r="485" spans="2:9" hidden="1" x14ac:dyDescent="0.25">
      <c r="B485" s="17">
        <v>5</v>
      </c>
      <c r="C485" s="17" t="s">
        <v>154</v>
      </c>
      <c r="D485" s="17" t="s">
        <v>30</v>
      </c>
      <c r="E485" s="18" t="s">
        <v>2459</v>
      </c>
      <c r="F485" s="17"/>
      <c r="G485" s="17"/>
      <c r="H485" s="17"/>
      <c r="I485" s="18" t="s">
        <v>155</v>
      </c>
    </row>
    <row r="486" spans="2:9" hidden="1" x14ac:dyDescent="0.25">
      <c r="B486" s="17">
        <v>6</v>
      </c>
      <c r="C486" s="17" t="s">
        <v>156</v>
      </c>
      <c r="D486" s="17" t="s">
        <v>30</v>
      </c>
      <c r="E486" s="18" t="s">
        <v>2460</v>
      </c>
      <c r="F486" s="17"/>
      <c r="G486" s="17"/>
      <c r="H486" s="17"/>
      <c r="I486" s="18" t="s">
        <v>153</v>
      </c>
    </row>
    <row r="487" spans="2:9" hidden="1" x14ac:dyDescent="0.25">
      <c r="B487" s="17">
        <v>6</v>
      </c>
      <c r="C487" s="17" t="s">
        <v>157</v>
      </c>
      <c r="D487" s="17" t="s">
        <v>30</v>
      </c>
      <c r="E487" s="18" t="s">
        <v>2453</v>
      </c>
      <c r="F487" s="17"/>
      <c r="G487" s="17"/>
      <c r="H487" s="17"/>
      <c r="I487" s="18" t="s">
        <v>158</v>
      </c>
    </row>
    <row r="488" spans="2:9" hidden="1" x14ac:dyDescent="0.25">
      <c r="B488" s="17">
        <v>5</v>
      </c>
      <c r="C488" s="17" t="s">
        <v>55</v>
      </c>
      <c r="D488" s="17" t="s">
        <v>40</v>
      </c>
      <c r="E488" s="18" t="s">
        <v>2102</v>
      </c>
      <c r="F488" s="17"/>
      <c r="G488" s="17"/>
      <c r="H488" s="17"/>
      <c r="I488" s="18" t="s">
        <v>56</v>
      </c>
    </row>
    <row r="489" spans="2:9" hidden="1" x14ac:dyDescent="0.25">
      <c r="B489" s="17">
        <v>5</v>
      </c>
      <c r="C489" s="17" t="s">
        <v>954</v>
      </c>
      <c r="D489" s="17" t="s">
        <v>42</v>
      </c>
      <c r="E489" s="18" t="s">
        <v>2461</v>
      </c>
      <c r="F489" s="17"/>
      <c r="G489" s="17"/>
      <c r="H489" s="17"/>
      <c r="I489" s="18" t="s">
        <v>955</v>
      </c>
    </row>
    <row r="490" spans="2:9" hidden="1" x14ac:dyDescent="0.25">
      <c r="B490" s="17">
        <v>3</v>
      </c>
      <c r="C490" s="17" t="s">
        <v>956</v>
      </c>
      <c r="D490" s="17" t="s">
        <v>30</v>
      </c>
      <c r="E490" s="18" t="s">
        <v>2462</v>
      </c>
      <c r="F490" s="17"/>
      <c r="G490" s="17"/>
      <c r="H490" s="17"/>
      <c r="I490" s="18" t="s">
        <v>957</v>
      </c>
    </row>
    <row r="491" spans="2:9" hidden="1" x14ac:dyDescent="0.25">
      <c r="B491" s="17">
        <v>4</v>
      </c>
      <c r="C491" s="17" t="s">
        <v>958</v>
      </c>
      <c r="D491" s="17" t="s">
        <v>40</v>
      </c>
      <c r="E491" s="18" t="s">
        <v>2463</v>
      </c>
      <c r="F491" s="17"/>
      <c r="G491" s="17"/>
      <c r="H491" s="17"/>
      <c r="I491" s="18" t="s">
        <v>959</v>
      </c>
    </row>
    <row r="492" spans="2:9" hidden="1" x14ac:dyDescent="0.25">
      <c r="B492" s="17">
        <v>4</v>
      </c>
      <c r="C492" s="17" t="s">
        <v>960</v>
      </c>
      <c r="D492" s="17" t="s">
        <v>30</v>
      </c>
      <c r="E492" s="18" t="s">
        <v>2464</v>
      </c>
      <c r="F492" s="17"/>
      <c r="G492" s="17"/>
      <c r="H492" s="17"/>
      <c r="I492" s="18" t="s">
        <v>961</v>
      </c>
    </row>
    <row r="493" spans="2:9" hidden="1" x14ac:dyDescent="0.25">
      <c r="B493" s="17">
        <v>3</v>
      </c>
      <c r="C493" s="17" t="s">
        <v>962</v>
      </c>
      <c r="D493" s="17" t="s">
        <v>30</v>
      </c>
      <c r="E493" s="18" t="s">
        <v>2465</v>
      </c>
      <c r="F493" s="17"/>
      <c r="G493" s="17"/>
      <c r="H493" s="17"/>
      <c r="I493" s="18" t="s">
        <v>963</v>
      </c>
    </row>
    <row r="494" spans="2:9" hidden="1" x14ac:dyDescent="0.25">
      <c r="B494" s="17">
        <v>3</v>
      </c>
      <c r="C494" s="17" t="s">
        <v>817</v>
      </c>
      <c r="D494" s="17" t="s">
        <v>30</v>
      </c>
      <c r="E494" s="18" t="s">
        <v>2466</v>
      </c>
      <c r="F494" s="17"/>
      <c r="G494" s="17"/>
      <c r="H494" s="17"/>
      <c r="I494" s="18" t="s">
        <v>816</v>
      </c>
    </row>
    <row r="495" spans="2:9" hidden="1" x14ac:dyDescent="0.25">
      <c r="B495" s="17">
        <v>3</v>
      </c>
      <c r="C495" s="17" t="s">
        <v>964</v>
      </c>
      <c r="D495" s="17" t="s">
        <v>42</v>
      </c>
      <c r="E495" s="18" t="s">
        <v>2467</v>
      </c>
      <c r="F495" s="17"/>
      <c r="G495" s="17"/>
      <c r="H495" s="17"/>
      <c r="I495" s="18" t="s">
        <v>824</v>
      </c>
    </row>
    <row r="496" spans="2:9" hidden="1" x14ac:dyDescent="0.25">
      <c r="B496" s="17">
        <v>3</v>
      </c>
      <c r="C496" s="17" t="s">
        <v>965</v>
      </c>
      <c r="D496" s="17" t="s">
        <v>40</v>
      </c>
      <c r="E496" s="18" t="s">
        <v>2468</v>
      </c>
      <c r="F496" s="17"/>
      <c r="G496" s="17"/>
      <c r="H496" s="17"/>
      <c r="I496" s="18" t="s">
        <v>431</v>
      </c>
    </row>
    <row r="497" spans="2:9" hidden="1" x14ac:dyDescent="0.25">
      <c r="B497" s="17">
        <v>3</v>
      </c>
      <c r="C497" s="17" t="s">
        <v>966</v>
      </c>
      <c r="D497" s="17" t="s">
        <v>43</v>
      </c>
      <c r="E497" s="18" t="s">
        <v>2469</v>
      </c>
      <c r="F497" s="17"/>
      <c r="G497" s="17"/>
      <c r="H497" s="17"/>
      <c r="I497" s="18" t="s">
        <v>431</v>
      </c>
    </row>
    <row r="498" spans="2:9" ht="63" x14ac:dyDescent="0.25">
      <c r="B498" s="17">
        <v>2</v>
      </c>
      <c r="C498" s="17" t="s">
        <v>967</v>
      </c>
      <c r="D498" s="17" t="s">
        <v>30</v>
      </c>
      <c r="E498" s="18" t="s">
        <v>2470</v>
      </c>
      <c r="F498" s="17" t="s">
        <v>968</v>
      </c>
      <c r="G498" s="19" t="s">
        <v>969</v>
      </c>
      <c r="H498" s="19" t="s">
        <v>970</v>
      </c>
      <c r="I498" s="18" t="s">
        <v>971</v>
      </c>
    </row>
    <row r="499" spans="2:9" hidden="1" x14ac:dyDescent="0.25">
      <c r="B499" s="17">
        <v>3</v>
      </c>
      <c r="C499" s="17" t="s">
        <v>972</v>
      </c>
      <c r="D499" s="17" t="s">
        <v>30</v>
      </c>
      <c r="E499" s="18" t="s">
        <v>2471</v>
      </c>
      <c r="F499" s="17"/>
      <c r="G499" s="17"/>
      <c r="H499" s="17"/>
      <c r="I499" s="18" t="s">
        <v>973</v>
      </c>
    </row>
    <row r="500" spans="2:9" hidden="1" x14ac:dyDescent="0.25">
      <c r="B500" s="17">
        <v>4</v>
      </c>
      <c r="C500" s="17" t="s">
        <v>974</v>
      </c>
      <c r="D500" s="17" t="s">
        <v>30</v>
      </c>
      <c r="E500" s="18" t="s">
        <v>2472</v>
      </c>
      <c r="F500" s="17"/>
      <c r="G500" s="17"/>
      <c r="H500" s="17"/>
      <c r="I500" s="18" t="s">
        <v>975</v>
      </c>
    </row>
    <row r="501" spans="2:9" hidden="1" x14ac:dyDescent="0.25">
      <c r="B501" s="17">
        <v>4</v>
      </c>
      <c r="C501" s="17" t="s">
        <v>976</v>
      </c>
      <c r="D501" s="17" t="s">
        <v>42</v>
      </c>
      <c r="E501" s="18" t="s">
        <v>2473</v>
      </c>
      <c r="F501" s="17"/>
      <c r="G501" s="17"/>
      <c r="H501" s="17"/>
      <c r="I501" s="18" t="s">
        <v>110</v>
      </c>
    </row>
    <row r="502" spans="2:9" hidden="1" x14ac:dyDescent="0.25">
      <c r="B502" s="17">
        <v>4</v>
      </c>
      <c r="C502" s="17" t="s">
        <v>977</v>
      </c>
      <c r="D502" s="17" t="s">
        <v>42</v>
      </c>
      <c r="E502" s="18" t="s">
        <v>2474</v>
      </c>
      <c r="F502" s="17"/>
      <c r="G502" s="17"/>
      <c r="H502" s="17"/>
      <c r="I502" s="18" t="s">
        <v>978</v>
      </c>
    </row>
    <row r="503" spans="2:9" hidden="1" x14ac:dyDescent="0.25">
      <c r="B503" s="17">
        <v>4</v>
      </c>
      <c r="C503" s="17" t="s">
        <v>381</v>
      </c>
      <c r="D503" s="17" t="s">
        <v>42</v>
      </c>
      <c r="E503" s="18" t="s">
        <v>2070</v>
      </c>
      <c r="F503" s="17"/>
      <c r="G503" s="17"/>
      <c r="H503" s="17"/>
      <c r="I503" s="18" t="s">
        <v>382</v>
      </c>
    </row>
    <row r="504" spans="2:9" hidden="1" x14ac:dyDescent="0.25">
      <c r="B504" s="17">
        <v>4</v>
      </c>
      <c r="C504" s="17" t="s">
        <v>979</v>
      </c>
      <c r="D504" s="17" t="s">
        <v>30</v>
      </c>
      <c r="E504" s="18" t="s">
        <v>2475</v>
      </c>
      <c r="F504" s="17"/>
      <c r="G504" s="17"/>
      <c r="H504" s="17"/>
      <c r="I504" s="18" t="s">
        <v>980</v>
      </c>
    </row>
    <row r="505" spans="2:9" hidden="1" x14ac:dyDescent="0.25">
      <c r="B505" s="17">
        <v>4</v>
      </c>
      <c r="C505" s="17" t="s">
        <v>981</v>
      </c>
      <c r="D505" s="17" t="s">
        <v>42</v>
      </c>
      <c r="E505" s="18" t="s">
        <v>2476</v>
      </c>
      <c r="F505" s="17"/>
      <c r="G505" s="17"/>
      <c r="H505" s="17"/>
      <c r="I505" s="18" t="s">
        <v>982</v>
      </c>
    </row>
    <row r="506" spans="2:9" hidden="1" x14ac:dyDescent="0.25">
      <c r="B506" s="17">
        <v>4</v>
      </c>
      <c r="C506" s="17" t="s">
        <v>983</v>
      </c>
      <c r="D506" s="17" t="s">
        <v>30</v>
      </c>
      <c r="E506" s="18" t="s">
        <v>2477</v>
      </c>
      <c r="F506" s="17"/>
      <c r="G506" s="17"/>
      <c r="H506" s="17"/>
      <c r="I506" s="18" t="s">
        <v>984</v>
      </c>
    </row>
    <row r="507" spans="2:9" hidden="1" x14ac:dyDescent="0.25">
      <c r="B507" s="17">
        <v>5</v>
      </c>
      <c r="C507" s="17" t="s">
        <v>985</v>
      </c>
      <c r="D507" s="17" t="s">
        <v>40</v>
      </c>
      <c r="E507" s="18" t="s">
        <v>2478</v>
      </c>
      <c r="F507" s="17"/>
      <c r="G507" s="17"/>
      <c r="H507" s="17"/>
      <c r="I507" s="18" t="s">
        <v>986</v>
      </c>
    </row>
    <row r="508" spans="2:9" hidden="1" x14ac:dyDescent="0.25">
      <c r="B508" s="17">
        <v>5</v>
      </c>
      <c r="C508" s="17" t="s">
        <v>987</v>
      </c>
      <c r="D508" s="17" t="s">
        <v>30</v>
      </c>
      <c r="E508" s="18" t="s">
        <v>2479</v>
      </c>
      <c r="F508" s="17"/>
      <c r="G508" s="17"/>
      <c r="H508" s="17"/>
      <c r="I508" s="18" t="s">
        <v>988</v>
      </c>
    </row>
    <row r="509" spans="2:9" hidden="1" x14ac:dyDescent="0.25">
      <c r="B509" s="17">
        <v>6</v>
      </c>
      <c r="C509" s="17" t="s">
        <v>989</v>
      </c>
      <c r="D509" s="17" t="s">
        <v>30</v>
      </c>
      <c r="E509" s="18" t="s">
        <v>2480</v>
      </c>
      <c r="F509" s="17"/>
      <c r="G509" s="17"/>
      <c r="H509" s="17"/>
      <c r="I509" s="18" t="s">
        <v>990</v>
      </c>
    </row>
    <row r="510" spans="2:9" hidden="1" x14ac:dyDescent="0.25">
      <c r="B510" s="17">
        <v>6</v>
      </c>
      <c r="C510" s="17" t="s">
        <v>991</v>
      </c>
      <c r="D510" s="17" t="s">
        <v>30</v>
      </c>
      <c r="E510" s="18" t="s">
        <v>2481</v>
      </c>
      <c r="F510" s="17"/>
      <c r="G510" s="17"/>
      <c r="H510" s="17"/>
      <c r="I510" s="18" t="s">
        <v>992</v>
      </c>
    </row>
    <row r="511" spans="2:9" hidden="1" x14ac:dyDescent="0.25">
      <c r="B511" s="17">
        <v>4</v>
      </c>
      <c r="C511" s="17" t="s">
        <v>993</v>
      </c>
      <c r="D511" s="17" t="s">
        <v>30</v>
      </c>
      <c r="E511" s="18" t="s">
        <v>2482</v>
      </c>
      <c r="F511" s="17"/>
      <c r="G511" s="17"/>
      <c r="H511" s="17"/>
      <c r="I511" s="18" t="s">
        <v>816</v>
      </c>
    </row>
    <row r="512" spans="2:9" hidden="1" x14ac:dyDescent="0.25">
      <c r="B512" s="17">
        <v>4</v>
      </c>
      <c r="C512" s="17" t="s">
        <v>426</v>
      </c>
      <c r="D512" s="17" t="s">
        <v>40</v>
      </c>
      <c r="E512" s="18" t="s">
        <v>2105</v>
      </c>
      <c r="F512" s="17"/>
      <c r="G512" s="17"/>
      <c r="H512" s="17"/>
      <c r="I512" s="18" t="s">
        <v>427</v>
      </c>
    </row>
    <row r="513" spans="2:9" hidden="1" x14ac:dyDescent="0.25">
      <c r="B513" s="17">
        <v>4</v>
      </c>
      <c r="C513" s="17" t="s">
        <v>994</v>
      </c>
      <c r="D513" s="17" t="s">
        <v>30</v>
      </c>
      <c r="E513" s="18" t="s">
        <v>2483</v>
      </c>
      <c r="F513" s="17"/>
      <c r="G513" s="17"/>
      <c r="H513" s="17"/>
      <c r="I513" s="18" t="s">
        <v>433</v>
      </c>
    </row>
    <row r="514" spans="2:9" hidden="1" x14ac:dyDescent="0.25">
      <c r="B514" s="17">
        <v>4</v>
      </c>
      <c r="C514" s="17" t="s">
        <v>432</v>
      </c>
      <c r="D514" s="17" t="s">
        <v>30</v>
      </c>
      <c r="E514" s="18" t="s">
        <v>2106</v>
      </c>
      <c r="F514" s="17"/>
      <c r="G514" s="17"/>
      <c r="H514" s="17"/>
      <c r="I514" s="18" t="s">
        <v>433</v>
      </c>
    </row>
    <row r="515" spans="2:9" hidden="1" x14ac:dyDescent="0.25">
      <c r="B515" s="17">
        <v>4</v>
      </c>
      <c r="C515" s="17" t="s">
        <v>995</v>
      </c>
      <c r="D515" s="17" t="s">
        <v>30</v>
      </c>
      <c r="E515" s="18" t="s">
        <v>2484</v>
      </c>
      <c r="F515" s="17"/>
      <c r="G515" s="17"/>
      <c r="H515" s="17"/>
      <c r="I515" s="18" t="s">
        <v>996</v>
      </c>
    </row>
    <row r="516" spans="2:9" hidden="1" x14ac:dyDescent="0.25">
      <c r="B516" s="17">
        <v>4</v>
      </c>
      <c r="C516" s="17" t="s">
        <v>163</v>
      </c>
      <c r="D516" s="17" t="s">
        <v>43</v>
      </c>
      <c r="E516" s="18" t="s">
        <v>2485</v>
      </c>
      <c r="F516" s="17"/>
      <c r="G516" s="17"/>
      <c r="H516" s="17"/>
      <c r="I516" s="18" t="s">
        <v>56</v>
      </c>
    </row>
    <row r="517" spans="2:9" hidden="1" x14ac:dyDescent="0.25">
      <c r="B517" s="17">
        <v>4</v>
      </c>
      <c r="C517" s="17" t="s">
        <v>823</v>
      </c>
      <c r="D517" s="17" t="s">
        <v>40</v>
      </c>
      <c r="E517" s="18" t="s">
        <v>2379</v>
      </c>
      <c r="F517" s="17"/>
      <c r="G517" s="17"/>
      <c r="H517" s="17"/>
      <c r="I517" s="18" t="s">
        <v>824</v>
      </c>
    </row>
    <row r="518" spans="2:9" hidden="1" x14ac:dyDescent="0.25">
      <c r="B518" s="17">
        <v>4</v>
      </c>
      <c r="C518" s="17" t="s">
        <v>997</v>
      </c>
      <c r="D518" s="17" t="s">
        <v>30</v>
      </c>
      <c r="E518" s="18" t="s">
        <v>2486</v>
      </c>
      <c r="F518" s="17"/>
      <c r="G518" s="17"/>
      <c r="H518" s="17"/>
      <c r="I518" s="18" t="s">
        <v>998</v>
      </c>
    </row>
    <row r="519" spans="2:9" hidden="1" x14ac:dyDescent="0.25">
      <c r="B519" s="17">
        <v>4</v>
      </c>
      <c r="C519" s="17" t="s">
        <v>997</v>
      </c>
      <c r="D519" s="17" t="s">
        <v>176</v>
      </c>
      <c r="E519" s="18" t="s">
        <v>2486</v>
      </c>
      <c r="F519" s="17"/>
      <c r="G519" s="17"/>
      <c r="H519" s="17"/>
      <c r="I519" s="18" t="s">
        <v>999</v>
      </c>
    </row>
    <row r="520" spans="2:9" hidden="1" x14ac:dyDescent="0.25">
      <c r="B520" s="17">
        <v>4</v>
      </c>
      <c r="C520" s="17" t="s">
        <v>1000</v>
      </c>
      <c r="D520" s="17" t="s">
        <v>30</v>
      </c>
      <c r="E520" s="18" t="s">
        <v>2487</v>
      </c>
      <c r="F520" s="17"/>
      <c r="G520" s="17"/>
      <c r="H520" s="17"/>
      <c r="I520" s="18" t="s">
        <v>1001</v>
      </c>
    </row>
    <row r="521" spans="2:9" hidden="1" x14ac:dyDescent="0.25">
      <c r="B521" s="17">
        <v>3</v>
      </c>
      <c r="C521" s="17" t="s">
        <v>1002</v>
      </c>
      <c r="D521" s="17" t="s">
        <v>30</v>
      </c>
      <c r="E521" s="18" t="s">
        <v>2488</v>
      </c>
      <c r="F521" s="17"/>
      <c r="G521" s="17"/>
      <c r="H521" s="17"/>
      <c r="I521" s="18" t="s">
        <v>1003</v>
      </c>
    </row>
    <row r="522" spans="2:9" hidden="1" x14ac:dyDescent="0.25">
      <c r="B522" s="17">
        <v>4</v>
      </c>
      <c r="C522" s="17" t="s">
        <v>1004</v>
      </c>
      <c r="D522" s="17" t="s">
        <v>30</v>
      </c>
      <c r="E522" s="18" t="s">
        <v>2489</v>
      </c>
      <c r="F522" s="17"/>
      <c r="G522" s="17"/>
      <c r="H522" s="17"/>
      <c r="I522" s="18" t="s">
        <v>1005</v>
      </c>
    </row>
    <row r="523" spans="2:9" hidden="1" x14ac:dyDescent="0.25">
      <c r="B523" s="17">
        <v>4</v>
      </c>
      <c r="C523" s="17" t="s">
        <v>1006</v>
      </c>
      <c r="D523" s="17" t="s">
        <v>30</v>
      </c>
      <c r="E523" s="18" t="s">
        <v>2490</v>
      </c>
      <c r="F523" s="17"/>
      <c r="G523" s="17"/>
      <c r="H523" s="17"/>
      <c r="I523" s="18" t="s">
        <v>1007</v>
      </c>
    </row>
    <row r="524" spans="2:9" hidden="1" x14ac:dyDescent="0.25">
      <c r="B524" s="17">
        <v>4</v>
      </c>
      <c r="C524" s="17" t="s">
        <v>1008</v>
      </c>
      <c r="D524" s="17" t="s">
        <v>30</v>
      </c>
      <c r="E524" s="18" t="s">
        <v>2491</v>
      </c>
      <c r="F524" s="17"/>
      <c r="G524" s="17"/>
      <c r="H524" s="17"/>
      <c r="I524" s="18" t="s">
        <v>1009</v>
      </c>
    </row>
    <row r="525" spans="2:9" hidden="1" x14ac:dyDescent="0.25">
      <c r="B525" s="17">
        <v>4</v>
      </c>
      <c r="C525" s="17" t="s">
        <v>1010</v>
      </c>
      <c r="D525" s="17" t="s">
        <v>30</v>
      </c>
      <c r="E525" s="18" t="s">
        <v>2492</v>
      </c>
      <c r="F525" s="17"/>
      <c r="G525" s="17"/>
      <c r="H525" s="17"/>
      <c r="I525" s="18" t="s">
        <v>1011</v>
      </c>
    </row>
    <row r="526" spans="2:9" hidden="1" x14ac:dyDescent="0.25">
      <c r="B526" s="17">
        <v>4</v>
      </c>
      <c r="C526" s="17" t="s">
        <v>1012</v>
      </c>
      <c r="D526" s="17" t="s">
        <v>30</v>
      </c>
      <c r="E526" s="18" t="s">
        <v>2493</v>
      </c>
      <c r="F526" s="17"/>
      <c r="G526" s="17"/>
      <c r="H526" s="17"/>
      <c r="I526" s="18" t="s">
        <v>1013</v>
      </c>
    </row>
    <row r="527" spans="2:9" hidden="1" x14ac:dyDescent="0.25">
      <c r="B527" s="17">
        <v>4</v>
      </c>
      <c r="C527" s="17" t="s">
        <v>1014</v>
      </c>
      <c r="D527" s="17" t="s">
        <v>42</v>
      </c>
      <c r="E527" s="18" t="s">
        <v>2494</v>
      </c>
      <c r="F527" s="17"/>
      <c r="G527" s="17"/>
      <c r="H527" s="17"/>
      <c r="I527" s="18" t="s">
        <v>1015</v>
      </c>
    </row>
    <row r="528" spans="2:9" hidden="1" x14ac:dyDescent="0.25">
      <c r="B528" s="17">
        <v>4</v>
      </c>
      <c r="C528" s="17" t="s">
        <v>1016</v>
      </c>
      <c r="D528" s="17" t="s">
        <v>40</v>
      </c>
      <c r="E528" s="18" t="s">
        <v>2495</v>
      </c>
      <c r="F528" s="17"/>
      <c r="G528" s="17"/>
      <c r="H528" s="17"/>
      <c r="I528" s="18" t="s">
        <v>1017</v>
      </c>
    </row>
    <row r="529" spans="2:9" hidden="1" x14ac:dyDescent="0.25">
      <c r="B529" s="17">
        <v>4</v>
      </c>
      <c r="C529" s="17" t="s">
        <v>1018</v>
      </c>
      <c r="D529" s="17" t="s">
        <v>30</v>
      </c>
      <c r="E529" s="18" t="s">
        <v>2496</v>
      </c>
      <c r="F529" s="17"/>
      <c r="G529" s="17"/>
      <c r="H529" s="17"/>
      <c r="I529" s="18" t="s">
        <v>1019</v>
      </c>
    </row>
    <row r="530" spans="2:9" hidden="1" x14ac:dyDescent="0.25">
      <c r="B530" s="17">
        <v>4</v>
      </c>
      <c r="C530" s="17" t="s">
        <v>1020</v>
      </c>
      <c r="D530" s="17" t="s">
        <v>42</v>
      </c>
      <c r="E530" s="18" t="s">
        <v>2497</v>
      </c>
      <c r="F530" s="17"/>
      <c r="G530" s="17"/>
      <c r="H530" s="17"/>
      <c r="I530" s="18" t="s">
        <v>1015</v>
      </c>
    </row>
    <row r="531" spans="2:9" hidden="1" x14ac:dyDescent="0.25">
      <c r="B531" s="17">
        <v>4</v>
      </c>
      <c r="C531" s="17" t="s">
        <v>1021</v>
      </c>
      <c r="D531" s="17" t="s">
        <v>40</v>
      </c>
      <c r="E531" s="18" t="s">
        <v>2498</v>
      </c>
      <c r="F531" s="17"/>
      <c r="G531" s="17"/>
      <c r="H531" s="17"/>
      <c r="I531" s="18" t="s">
        <v>1022</v>
      </c>
    </row>
    <row r="532" spans="2:9" hidden="1" x14ac:dyDescent="0.25">
      <c r="B532" s="17">
        <v>4</v>
      </c>
      <c r="C532" s="17" t="s">
        <v>1023</v>
      </c>
      <c r="D532" s="17" t="s">
        <v>30</v>
      </c>
      <c r="E532" s="18" t="s">
        <v>2499</v>
      </c>
      <c r="F532" s="17"/>
      <c r="G532" s="17"/>
      <c r="H532" s="17"/>
      <c r="I532" s="18" t="s">
        <v>1024</v>
      </c>
    </row>
    <row r="533" spans="2:9" hidden="1" x14ac:dyDescent="0.25">
      <c r="B533" s="17">
        <v>4</v>
      </c>
      <c r="C533" s="17" t="s">
        <v>1025</v>
      </c>
      <c r="D533" s="17" t="s">
        <v>30</v>
      </c>
      <c r="E533" s="18" t="s">
        <v>2500</v>
      </c>
      <c r="F533" s="17"/>
      <c r="G533" s="17"/>
      <c r="H533" s="17"/>
      <c r="I533" s="18" t="s">
        <v>1019</v>
      </c>
    </row>
    <row r="534" spans="2:9" hidden="1" x14ac:dyDescent="0.25">
      <c r="B534" s="17">
        <v>4</v>
      </c>
      <c r="C534" s="17" t="s">
        <v>1026</v>
      </c>
      <c r="D534" s="17" t="s">
        <v>40</v>
      </c>
      <c r="E534" s="18" t="s">
        <v>2501</v>
      </c>
      <c r="F534" s="17"/>
      <c r="G534" s="17"/>
      <c r="H534" s="17"/>
      <c r="I534" s="18" t="s">
        <v>1027</v>
      </c>
    </row>
    <row r="535" spans="2:9" hidden="1" x14ac:dyDescent="0.25">
      <c r="B535" s="17">
        <v>4</v>
      </c>
      <c r="C535" s="17" t="s">
        <v>1028</v>
      </c>
      <c r="D535" s="17" t="s">
        <v>30</v>
      </c>
      <c r="E535" s="18" t="s">
        <v>2502</v>
      </c>
      <c r="F535" s="17"/>
      <c r="G535" s="17"/>
      <c r="H535" s="17"/>
      <c r="I535" s="18" t="s">
        <v>1024</v>
      </c>
    </row>
    <row r="536" spans="2:9" hidden="1" x14ac:dyDescent="0.25">
      <c r="B536" s="17">
        <v>4</v>
      </c>
      <c r="C536" s="17" t="s">
        <v>1029</v>
      </c>
      <c r="D536" s="17" t="s">
        <v>30</v>
      </c>
      <c r="E536" s="18" t="s">
        <v>2503</v>
      </c>
      <c r="F536" s="17"/>
      <c r="G536" s="17"/>
      <c r="H536" s="17"/>
      <c r="I536" s="18" t="s">
        <v>1024</v>
      </c>
    </row>
    <row r="537" spans="2:9" hidden="1" x14ac:dyDescent="0.25">
      <c r="B537" s="17">
        <v>4</v>
      </c>
      <c r="C537" s="17" t="s">
        <v>1030</v>
      </c>
      <c r="D537" s="17" t="s">
        <v>40</v>
      </c>
      <c r="E537" s="18" t="s">
        <v>2504</v>
      </c>
      <c r="F537" s="17"/>
      <c r="G537" s="17"/>
      <c r="H537" s="17"/>
      <c r="I537" s="18" t="s">
        <v>1031</v>
      </c>
    </row>
    <row r="538" spans="2:9" hidden="1" x14ac:dyDescent="0.25">
      <c r="B538" s="17">
        <v>4</v>
      </c>
      <c r="C538" s="17" t="s">
        <v>1032</v>
      </c>
      <c r="D538" s="17" t="s">
        <v>30</v>
      </c>
      <c r="E538" s="18" t="s">
        <v>2505</v>
      </c>
      <c r="F538" s="17"/>
      <c r="G538" s="17"/>
      <c r="H538" s="17"/>
      <c r="I538" s="18" t="s">
        <v>1033</v>
      </c>
    </row>
    <row r="539" spans="2:9" hidden="1" x14ac:dyDescent="0.25">
      <c r="B539" s="17">
        <v>4</v>
      </c>
      <c r="C539" s="17" t="s">
        <v>1034</v>
      </c>
      <c r="D539" s="17" t="s">
        <v>42</v>
      </c>
      <c r="E539" s="18" t="s">
        <v>2506</v>
      </c>
      <c r="F539" s="17"/>
      <c r="G539" s="17"/>
      <c r="H539" s="17"/>
      <c r="I539" s="18" t="s">
        <v>1035</v>
      </c>
    </row>
    <row r="540" spans="2:9" hidden="1" x14ac:dyDescent="0.25">
      <c r="B540" s="17">
        <v>4</v>
      </c>
      <c r="C540" s="17" t="s">
        <v>1036</v>
      </c>
      <c r="D540" s="17" t="s">
        <v>30</v>
      </c>
      <c r="E540" s="18" t="s">
        <v>2507</v>
      </c>
      <c r="F540" s="17"/>
      <c r="G540" s="17"/>
      <c r="H540" s="17"/>
      <c r="I540" s="18" t="s">
        <v>1037</v>
      </c>
    </row>
    <row r="541" spans="2:9" hidden="1" x14ac:dyDescent="0.25">
      <c r="B541" s="17">
        <v>4</v>
      </c>
      <c r="C541" s="17" t="s">
        <v>1038</v>
      </c>
      <c r="D541" s="17" t="s">
        <v>40</v>
      </c>
      <c r="E541" s="18" t="s">
        <v>2508</v>
      </c>
      <c r="F541" s="17"/>
      <c r="G541" s="17"/>
      <c r="H541" s="17"/>
      <c r="I541" s="18" t="s">
        <v>1037</v>
      </c>
    </row>
    <row r="542" spans="2:9" hidden="1" x14ac:dyDescent="0.25">
      <c r="B542" s="17">
        <v>4</v>
      </c>
      <c r="C542" s="17" t="s">
        <v>1039</v>
      </c>
      <c r="D542" s="17" t="s">
        <v>30</v>
      </c>
      <c r="E542" s="18" t="s">
        <v>2509</v>
      </c>
      <c r="F542" s="17"/>
      <c r="G542" s="17"/>
      <c r="H542" s="17"/>
      <c r="I542" s="18" t="s">
        <v>1037</v>
      </c>
    </row>
    <row r="543" spans="2:9" hidden="1" x14ac:dyDescent="0.25">
      <c r="B543" s="17">
        <v>4</v>
      </c>
      <c r="C543" s="17" t="s">
        <v>1040</v>
      </c>
      <c r="D543" s="17" t="s">
        <v>30</v>
      </c>
      <c r="E543" s="18" t="s">
        <v>2510</v>
      </c>
      <c r="F543" s="17"/>
      <c r="G543" s="17"/>
      <c r="H543" s="17"/>
      <c r="I543" s="18" t="s">
        <v>1037</v>
      </c>
    </row>
    <row r="544" spans="2:9" hidden="1" x14ac:dyDescent="0.25">
      <c r="B544" s="17">
        <v>4</v>
      </c>
      <c r="C544" s="17" t="s">
        <v>1041</v>
      </c>
      <c r="D544" s="17" t="s">
        <v>30</v>
      </c>
      <c r="E544" s="18" t="s">
        <v>2511</v>
      </c>
      <c r="F544" s="17"/>
      <c r="G544" s="17"/>
      <c r="H544" s="17"/>
      <c r="I544" s="18" t="s">
        <v>1037</v>
      </c>
    </row>
    <row r="545" spans="2:9" hidden="1" x14ac:dyDescent="0.25">
      <c r="B545" s="17">
        <v>4</v>
      </c>
      <c r="C545" s="17" t="s">
        <v>1042</v>
      </c>
      <c r="D545" s="17" t="s">
        <v>30</v>
      </c>
      <c r="E545" s="18" t="s">
        <v>2512</v>
      </c>
      <c r="F545" s="17"/>
      <c r="G545" s="17"/>
      <c r="H545" s="17"/>
      <c r="I545" s="18" t="s">
        <v>1037</v>
      </c>
    </row>
    <row r="546" spans="2:9" hidden="1" x14ac:dyDescent="0.25">
      <c r="B546" s="17">
        <v>4</v>
      </c>
      <c r="C546" s="17" t="s">
        <v>1043</v>
      </c>
      <c r="D546" s="17" t="s">
        <v>30</v>
      </c>
      <c r="E546" s="18" t="s">
        <v>2513</v>
      </c>
      <c r="F546" s="17"/>
      <c r="G546" s="17"/>
      <c r="H546" s="17"/>
      <c r="I546" s="18" t="s">
        <v>1015</v>
      </c>
    </row>
    <row r="547" spans="2:9" hidden="1" x14ac:dyDescent="0.25">
      <c r="B547" s="17">
        <v>4</v>
      </c>
      <c r="C547" s="17" t="s">
        <v>1044</v>
      </c>
      <c r="D547" s="17" t="s">
        <v>30</v>
      </c>
      <c r="E547" s="18" t="s">
        <v>2514</v>
      </c>
      <c r="F547" s="17"/>
      <c r="G547" s="17"/>
      <c r="H547" s="17"/>
      <c r="I547" s="18" t="s">
        <v>1015</v>
      </c>
    </row>
    <row r="548" spans="2:9" hidden="1" x14ac:dyDescent="0.25">
      <c r="B548" s="17">
        <v>4</v>
      </c>
      <c r="C548" s="17" t="s">
        <v>1045</v>
      </c>
      <c r="D548" s="17" t="s">
        <v>30</v>
      </c>
      <c r="E548" s="18" t="s">
        <v>2515</v>
      </c>
      <c r="F548" s="17"/>
      <c r="G548" s="17"/>
      <c r="H548" s="17"/>
      <c r="I548" s="18" t="s">
        <v>1015</v>
      </c>
    </row>
    <row r="549" spans="2:9" hidden="1" x14ac:dyDescent="0.25">
      <c r="B549" s="17">
        <v>4</v>
      </c>
      <c r="C549" s="17" t="s">
        <v>1046</v>
      </c>
      <c r="D549" s="17" t="s">
        <v>30</v>
      </c>
      <c r="E549" s="18" t="s">
        <v>2516</v>
      </c>
      <c r="F549" s="17"/>
      <c r="G549" s="17"/>
      <c r="H549" s="17"/>
      <c r="I549" s="18" t="s">
        <v>1047</v>
      </c>
    </row>
    <row r="550" spans="2:9" hidden="1" x14ac:dyDescent="0.25">
      <c r="B550" s="17">
        <v>4</v>
      </c>
      <c r="C550" s="17" t="s">
        <v>1048</v>
      </c>
      <c r="D550" s="17" t="s">
        <v>30</v>
      </c>
      <c r="E550" s="18" t="s">
        <v>2517</v>
      </c>
      <c r="F550" s="17"/>
      <c r="G550" s="17"/>
      <c r="H550" s="17"/>
      <c r="I550" s="18" t="s">
        <v>1049</v>
      </c>
    </row>
    <row r="551" spans="2:9" hidden="1" x14ac:dyDescent="0.25">
      <c r="B551" s="17">
        <v>4</v>
      </c>
      <c r="C551" s="17" t="s">
        <v>1050</v>
      </c>
      <c r="D551" s="17" t="s">
        <v>30</v>
      </c>
      <c r="E551" s="18" t="s">
        <v>2518</v>
      </c>
      <c r="F551" s="17"/>
      <c r="G551" s="17"/>
      <c r="H551" s="17"/>
      <c r="I551" s="18" t="s">
        <v>1051</v>
      </c>
    </row>
    <row r="552" spans="2:9" hidden="1" x14ac:dyDescent="0.25">
      <c r="B552" s="17">
        <v>4</v>
      </c>
      <c r="C552" s="17" t="s">
        <v>1052</v>
      </c>
      <c r="D552" s="17" t="s">
        <v>30</v>
      </c>
      <c r="E552" s="18" t="s">
        <v>2519</v>
      </c>
      <c r="F552" s="17"/>
      <c r="G552" s="17"/>
      <c r="H552" s="17"/>
      <c r="I552" s="18" t="s">
        <v>1053</v>
      </c>
    </row>
    <row r="553" spans="2:9" hidden="1" x14ac:dyDescent="0.25">
      <c r="B553" s="17">
        <v>4</v>
      </c>
      <c r="C553" s="17" t="s">
        <v>899</v>
      </c>
      <c r="D553" s="17" t="s">
        <v>40</v>
      </c>
      <c r="E553" s="18" t="s">
        <v>2423</v>
      </c>
      <c r="F553" s="17"/>
      <c r="G553" s="17"/>
      <c r="H553" s="17"/>
      <c r="I553" s="18" t="s">
        <v>900</v>
      </c>
    </row>
    <row r="554" spans="2:9" hidden="1" x14ac:dyDescent="0.25">
      <c r="B554" s="17">
        <v>4</v>
      </c>
      <c r="C554" s="17" t="s">
        <v>1054</v>
      </c>
      <c r="D554" s="17" t="s">
        <v>30</v>
      </c>
      <c r="E554" s="18" t="s">
        <v>2520</v>
      </c>
      <c r="F554" s="17"/>
      <c r="G554" s="17"/>
      <c r="H554" s="17"/>
      <c r="I554" s="18" t="s">
        <v>1055</v>
      </c>
    </row>
    <row r="555" spans="2:9" hidden="1" x14ac:dyDescent="0.25">
      <c r="B555" s="17">
        <v>4</v>
      </c>
      <c r="C555" s="17" t="s">
        <v>1056</v>
      </c>
      <c r="D555" s="17" t="s">
        <v>40</v>
      </c>
      <c r="E555" s="18" t="s">
        <v>2521</v>
      </c>
      <c r="F555" s="17"/>
      <c r="G555" s="17"/>
      <c r="H555" s="17"/>
      <c r="I555" s="18" t="s">
        <v>431</v>
      </c>
    </row>
    <row r="556" spans="2:9" hidden="1" x14ac:dyDescent="0.25">
      <c r="B556" s="17">
        <v>4</v>
      </c>
      <c r="C556" s="17" t="s">
        <v>1057</v>
      </c>
      <c r="D556" s="17" t="s">
        <v>40</v>
      </c>
      <c r="E556" s="18" t="s">
        <v>2522</v>
      </c>
      <c r="F556" s="17"/>
      <c r="G556" s="17"/>
      <c r="H556" s="17"/>
      <c r="I556" s="18" t="s">
        <v>431</v>
      </c>
    </row>
    <row r="557" spans="2:9" hidden="1" x14ac:dyDescent="0.25">
      <c r="B557" s="17">
        <v>4</v>
      </c>
      <c r="C557" s="17" t="s">
        <v>164</v>
      </c>
      <c r="D557" s="17" t="s">
        <v>30</v>
      </c>
      <c r="E557" s="18" t="s">
        <v>2523</v>
      </c>
      <c r="F557" s="17"/>
      <c r="G557" s="17"/>
      <c r="H557" s="17"/>
      <c r="I557" s="18" t="s">
        <v>58</v>
      </c>
    </row>
    <row r="558" spans="2:9" hidden="1" x14ac:dyDescent="0.25">
      <c r="B558" s="17">
        <v>4</v>
      </c>
      <c r="C558" s="17" t="s">
        <v>1058</v>
      </c>
      <c r="D558" s="17" t="s">
        <v>30</v>
      </c>
      <c r="E558" s="18" t="s">
        <v>2524</v>
      </c>
      <c r="F558" s="17"/>
      <c r="G558" s="17"/>
      <c r="H558" s="17"/>
      <c r="I558" s="18" t="s">
        <v>58</v>
      </c>
    </row>
    <row r="559" spans="2:9" hidden="1" x14ac:dyDescent="0.25">
      <c r="B559" s="17">
        <v>4</v>
      </c>
      <c r="C559" s="17" t="s">
        <v>1059</v>
      </c>
      <c r="D559" s="17" t="s">
        <v>30</v>
      </c>
      <c r="E559" s="18" t="s">
        <v>2525</v>
      </c>
      <c r="F559" s="17"/>
      <c r="G559" s="17"/>
      <c r="H559" s="17"/>
      <c r="I559" s="18" t="s">
        <v>58</v>
      </c>
    </row>
    <row r="560" spans="2:9" hidden="1" x14ac:dyDescent="0.25">
      <c r="B560" s="17">
        <v>4</v>
      </c>
      <c r="C560" s="17" t="s">
        <v>165</v>
      </c>
      <c r="D560" s="17" t="s">
        <v>40</v>
      </c>
      <c r="E560" s="18" t="s">
        <v>2526</v>
      </c>
      <c r="F560" s="17"/>
      <c r="G560" s="17"/>
      <c r="H560" s="17"/>
      <c r="I560" s="18" t="s">
        <v>58</v>
      </c>
    </row>
    <row r="561" spans="2:9" hidden="1" x14ac:dyDescent="0.25">
      <c r="B561" s="17">
        <v>4</v>
      </c>
      <c r="C561" s="17" t="s">
        <v>1060</v>
      </c>
      <c r="D561" s="17" t="s">
        <v>30</v>
      </c>
      <c r="E561" s="18" t="s">
        <v>2527</v>
      </c>
      <c r="F561" s="17"/>
      <c r="G561" s="17"/>
      <c r="H561" s="17"/>
      <c r="I561" s="18" t="s">
        <v>1061</v>
      </c>
    </row>
    <row r="562" spans="2:9" hidden="1" x14ac:dyDescent="0.25">
      <c r="B562" s="17">
        <v>4</v>
      </c>
      <c r="C562" s="17" t="s">
        <v>1062</v>
      </c>
      <c r="D562" s="17" t="s">
        <v>40</v>
      </c>
      <c r="E562" s="18" t="s">
        <v>2528</v>
      </c>
      <c r="F562" s="17"/>
      <c r="G562" s="17"/>
      <c r="H562" s="17"/>
      <c r="I562" s="18" t="s">
        <v>1063</v>
      </c>
    </row>
    <row r="563" spans="2:9" x14ac:dyDescent="0.25">
      <c r="B563" s="17">
        <v>3</v>
      </c>
      <c r="C563" s="17" t="s">
        <v>1064</v>
      </c>
      <c r="D563" s="17" t="s">
        <v>30</v>
      </c>
      <c r="E563" s="18" t="s">
        <v>2529</v>
      </c>
      <c r="F563" s="17" t="s">
        <v>31</v>
      </c>
      <c r="G563" s="17" t="s">
        <v>332</v>
      </c>
      <c r="H563" s="17" t="s">
        <v>332</v>
      </c>
      <c r="I563" s="18" t="s">
        <v>1065</v>
      </c>
    </row>
    <row r="564" spans="2:9" hidden="1" x14ac:dyDescent="0.25">
      <c r="B564" s="17">
        <v>4</v>
      </c>
      <c r="C564" s="17" t="s">
        <v>850</v>
      </c>
      <c r="D564" s="17" t="s">
        <v>30</v>
      </c>
      <c r="E564" s="18" t="s">
        <v>2394</v>
      </c>
      <c r="F564" s="17"/>
      <c r="G564" s="17"/>
      <c r="H564" s="17"/>
      <c r="I564" s="18" t="s">
        <v>851</v>
      </c>
    </row>
    <row r="565" spans="2:9" x14ac:dyDescent="0.25">
      <c r="B565" s="17">
        <v>4</v>
      </c>
      <c r="C565" s="17" t="s">
        <v>1066</v>
      </c>
      <c r="D565" s="17" t="s">
        <v>30</v>
      </c>
      <c r="E565" s="18" t="s">
        <v>2530</v>
      </c>
      <c r="F565" s="17" t="s">
        <v>394</v>
      </c>
      <c r="G565" s="17" t="s">
        <v>394</v>
      </c>
      <c r="H565" s="17" t="s">
        <v>46</v>
      </c>
      <c r="I565" s="18" t="s">
        <v>1065</v>
      </c>
    </row>
    <row r="566" spans="2:9" hidden="1" x14ac:dyDescent="0.25">
      <c r="B566" s="17">
        <v>5</v>
      </c>
      <c r="C566" s="17" t="s">
        <v>398</v>
      </c>
      <c r="D566" s="17" t="s">
        <v>42</v>
      </c>
      <c r="E566" s="18" t="s">
        <v>2078</v>
      </c>
      <c r="F566" s="17"/>
      <c r="G566" s="17"/>
      <c r="H566" s="17"/>
      <c r="I566" s="18" t="s">
        <v>399</v>
      </c>
    </row>
    <row r="567" spans="2:9" hidden="1" x14ac:dyDescent="0.25">
      <c r="B567" s="17">
        <v>6</v>
      </c>
      <c r="C567" s="17" t="s">
        <v>400</v>
      </c>
      <c r="D567" s="17" t="s">
        <v>42</v>
      </c>
      <c r="E567" s="18" t="s">
        <v>2079</v>
      </c>
      <c r="F567" s="17"/>
      <c r="G567" s="17"/>
      <c r="H567" s="17"/>
      <c r="I567" s="18" t="s">
        <v>401</v>
      </c>
    </row>
    <row r="568" spans="2:9" hidden="1" x14ac:dyDescent="0.25">
      <c r="B568" s="17">
        <v>6</v>
      </c>
      <c r="C568" s="17" t="s">
        <v>402</v>
      </c>
      <c r="D568" s="17" t="s">
        <v>42</v>
      </c>
      <c r="E568" s="18" t="s">
        <v>2080</v>
      </c>
      <c r="F568" s="17"/>
      <c r="G568" s="17"/>
      <c r="H568" s="17"/>
      <c r="I568" s="18" t="s">
        <v>403</v>
      </c>
    </row>
    <row r="569" spans="2:9" hidden="1" x14ac:dyDescent="0.25">
      <c r="B569" s="17">
        <v>7</v>
      </c>
      <c r="C569" s="17" t="s">
        <v>404</v>
      </c>
      <c r="D569" s="17" t="s">
        <v>30</v>
      </c>
      <c r="E569" s="18" t="s">
        <v>2081</v>
      </c>
      <c r="F569" s="17"/>
      <c r="G569" s="17"/>
      <c r="H569" s="17"/>
      <c r="I569" s="18" t="s">
        <v>405</v>
      </c>
    </row>
    <row r="570" spans="2:9" hidden="1" x14ac:dyDescent="0.25">
      <c r="B570" s="17">
        <v>7</v>
      </c>
      <c r="C570" s="17" t="s">
        <v>406</v>
      </c>
      <c r="D570" s="17" t="s">
        <v>42</v>
      </c>
      <c r="E570" s="18" t="s">
        <v>2082</v>
      </c>
      <c r="F570" s="17"/>
      <c r="G570" s="17"/>
      <c r="H570" s="17"/>
      <c r="I570" s="18" t="s">
        <v>407</v>
      </c>
    </row>
    <row r="571" spans="2:9" hidden="1" x14ac:dyDescent="0.25">
      <c r="B571" s="17">
        <v>6</v>
      </c>
      <c r="C571" s="17" t="s">
        <v>408</v>
      </c>
      <c r="D571" s="17" t="s">
        <v>30</v>
      </c>
      <c r="E571" s="18" t="s">
        <v>2083</v>
      </c>
      <c r="F571" s="17"/>
      <c r="G571" s="17"/>
      <c r="H571" s="17"/>
      <c r="I571" s="18" t="s">
        <v>142</v>
      </c>
    </row>
    <row r="572" spans="2:9" hidden="1" x14ac:dyDescent="0.25">
      <c r="B572" s="17">
        <v>6</v>
      </c>
      <c r="C572" s="17" t="s">
        <v>409</v>
      </c>
      <c r="D572" s="17" t="s">
        <v>30</v>
      </c>
      <c r="E572" s="18" t="s">
        <v>2084</v>
      </c>
      <c r="F572" s="17"/>
      <c r="G572" s="17"/>
      <c r="H572" s="17"/>
      <c r="I572" s="18" t="s">
        <v>410</v>
      </c>
    </row>
    <row r="573" spans="2:9" hidden="1" x14ac:dyDescent="0.25">
      <c r="B573" s="17">
        <v>5</v>
      </c>
      <c r="C573" s="17" t="s">
        <v>1067</v>
      </c>
      <c r="D573" s="17" t="s">
        <v>30</v>
      </c>
      <c r="E573" s="18" t="s">
        <v>2531</v>
      </c>
      <c r="F573" s="17"/>
      <c r="G573" s="17"/>
      <c r="H573" s="17"/>
      <c r="I573" s="18" t="s">
        <v>1068</v>
      </c>
    </row>
    <row r="574" spans="2:9" hidden="1" x14ac:dyDescent="0.25">
      <c r="B574" s="17">
        <v>6</v>
      </c>
      <c r="C574" s="17" t="s">
        <v>1069</v>
      </c>
      <c r="D574" s="17" t="s">
        <v>49</v>
      </c>
      <c r="E574" s="18" t="s">
        <v>2532</v>
      </c>
      <c r="F574" s="17"/>
      <c r="G574" s="17"/>
      <c r="H574" s="17"/>
      <c r="I574" s="18" t="s">
        <v>123</v>
      </c>
    </row>
    <row r="575" spans="2:9" hidden="1" x14ac:dyDescent="0.25">
      <c r="B575" s="17">
        <v>6</v>
      </c>
      <c r="C575" s="17" t="s">
        <v>1070</v>
      </c>
      <c r="D575" s="17" t="s">
        <v>30</v>
      </c>
      <c r="E575" s="18" t="s">
        <v>2533</v>
      </c>
      <c r="F575" s="17"/>
      <c r="G575" s="17"/>
      <c r="H575" s="17"/>
      <c r="I575" s="18" t="s">
        <v>1071</v>
      </c>
    </row>
    <row r="576" spans="2:9" hidden="1" x14ac:dyDescent="0.25">
      <c r="B576" s="17">
        <v>5</v>
      </c>
      <c r="C576" s="17" t="s">
        <v>1072</v>
      </c>
      <c r="D576" s="17" t="s">
        <v>30</v>
      </c>
      <c r="E576" s="18" t="s">
        <v>2534</v>
      </c>
      <c r="F576" s="17"/>
      <c r="G576" s="17"/>
      <c r="H576" s="17"/>
      <c r="I576" s="18" t="s">
        <v>1073</v>
      </c>
    </row>
    <row r="577" spans="2:9" hidden="1" x14ac:dyDescent="0.25">
      <c r="B577" s="17">
        <v>5</v>
      </c>
      <c r="C577" s="17" t="s">
        <v>1074</v>
      </c>
      <c r="D577" s="17" t="s">
        <v>30</v>
      </c>
      <c r="E577" s="18" t="s">
        <v>2535</v>
      </c>
      <c r="F577" s="17"/>
      <c r="G577" s="17"/>
      <c r="H577" s="17"/>
      <c r="I577" s="18" t="s">
        <v>412</v>
      </c>
    </row>
    <row r="578" spans="2:9" hidden="1" x14ac:dyDescent="0.25">
      <c r="B578" s="17">
        <v>5</v>
      </c>
      <c r="C578" s="17" t="s">
        <v>1075</v>
      </c>
      <c r="D578" s="17" t="s">
        <v>30</v>
      </c>
      <c r="E578" s="18" t="s">
        <v>2536</v>
      </c>
      <c r="F578" s="17"/>
      <c r="G578" s="17"/>
      <c r="H578" s="17"/>
      <c r="I578" s="18" t="s">
        <v>384</v>
      </c>
    </row>
    <row r="579" spans="2:9" hidden="1" x14ac:dyDescent="0.25">
      <c r="B579" s="17">
        <v>6</v>
      </c>
      <c r="C579" s="17" t="s">
        <v>1076</v>
      </c>
      <c r="D579" s="17" t="s">
        <v>30</v>
      </c>
      <c r="E579" s="18" t="s">
        <v>2537</v>
      </c>
      <c r="F579" s="17"/>
      <c r="G579" s="17"/>
      <c r="H579" s="17"/>
      <c r="I579" s="18" t="s">
        <v>1077</v>
      </c>
    </row>
    <row r="580" spans="2:9" hidden="1" x14ac:dyDescent="0.25">
      <c r="B580" s="17">
        <v>6</v>
      </c>
      <c r="C580" s="17" t="s">
        <v>1078</v>
      </c>
      <c r="D580" s="17" t="s">
        <v>30</v>
      </c>
      <c r="E580" s="18" t="s">
        <v>2538</v>
      </c>
      <c r="F580" s="17"/>
      <c r="G580" s="17"/>
      <c r="H580" s="17"/>
      <c r="I580" s="18" t="s">
        <v>1077</v>
      </c>
    </row>
    <row r="581" spans="2:9" hidden="1" x14ac:dyDescent="0.25">
      <c r="B581" s="17">
        <v>6</v>
      </c>
      <c r="C581" s="17" t="s">
        <v>1079</v>
      </c>
      <c r="D581" s="17" t="s">
        <v>30</v>
      </c>
      <c r="E581" s="18" t="s">
        <v>2539</v>
      </c>
      <c r="F581" s="17"/>
      <c r="G581" s="17"/>
      <c r="H581" s="17"/>
      <c r="I581" s="18" t="s">
        <v>1080</v>
      </c>
    </row>
    <row r="582" spans="2:9" hidden="1" x14ac:dyDescent="0.25">
      <c r="B582" s="17">
        <v>6</v>
      </c>
      <c r="C582" s="17" t="s">
        <v>1081</v>
      </c>
      <c r="D582" s="17" t="s">
        <v>40</v>
      </c>
      <c r="E582" s="18" t="s">
        <v>2540</v>
      </c>
      <c r="F582" s="17"/>
      <c r="G582" s="17"/>
      <c r="H582" s="17"/>
      <c r="I582" s="18" t="s">
        <v>145</v>
      </c>
    </row>
    <row r="583" spans="2:9" hidden="1" x14ac:dyDescent="0.25">
      <c r="B583" s="17">
        <v>5</v>
      </c>
      <c r="C583" s="17" t="s">
        <v>424</v>
      </c>
      <c r="D583" s="17" t="s">
        <v>30</v>
      </c>
      <c r="E583" s="18" t="s">
        <v>2098</v>
      </c>
      <c r="F583" s="17"/>
      <c r="G583" s="17"/>
      <c r="H583" s="17"/>
      <c r="I583" s="18" t="s">
        <v>425</v>
      </c>
    </row>
    <row r="584" spans="2:9" hidden="1" x14ac:dyDescent="0.25">
      <c r="B584" s="17">
        <v>5</v>
      </c>
      <c r="C584" s="17" t="s">
        <v>993</v>
      </c>
      <c r="D584" s="17" t="s">
        <v>30</v>
      </c>
      <c r="E584" s="18" t="s">
        <v>2541</v>
      </c>
      <c r="F584" s="17"/>
      <c r="G584" s="17"/>
      <c r="H584" s="17"/>
      <c r="I584" s="18" t="s">
        <v>816</v>
      </c>
    </row>
    <row r="585" spans="2:9" hidden="1" x14ac:dyDescent="0.25">
      <c r="B585" s="17">
        <v>5</v>
      </c>
      <c r="C585" s="17" t="s">
        <v>1082</v>
      </c>
      <c r="D585" s="17" t="s">
        <v>30</v>
      </c>
      <c r="E585" s="18" t="s">
        <v>2542</v>
      </c>
      <c r="F585" s="17"/>
      <c r="G585" s="17"/>
      <c r="H585" s="17"/>
      <c r="I585" s="18" t="s">
        <v>816</v>
      </c>
    </row>
    <row r="586" spans="2:9" hidden="1" x14ac:dyDescent="0.25">
      <c r="B586" s="17">
        <v>5</v>
      </c>
      <c r="C586" s="17" t="s">
        <v>107</v>
      </c>
      <c r="D586" s="17" t="s">
        <v>40</v>
      </c>
      <c r="E586" s="18" t="s">
        <v>2101</v>
      </c>
      <c r="F586" s="17"/>
      <c r="G586" s="17"/>
      <c r="H586" s="17"/>
      <c r="I586" s="18" t="s">
        <v>108</v>
      </c>
    </row>
    <row r="587" spans="2:9" hidden="1" x14ac:dyDescent="0.25">
      <c r="B587" s="17">
        <v>5</v>
      </c>
      <c r="C587" s="17" t="s">
        <v>429</v>
      </c>
      <c r="D587" s="17" t="s">
        <v>30</v>
      </c>
      <c r="E587" s="18" t="s">
        <v>2103</v>
      </c>
      <c r="F587" s="17"/>
      <c r="G587" s="17"/>
      <c r="H587" s="17"/>
      <c r="I587" s="18" t="s">
        <v>430</v>
      </c>
    </row>
    <row r="588" spans="2:9" hidden="1" x14ac:dyDescent="0.25">
      <c r="B588" s="17">
        <v>4</v>
      </c>
      <c r="C588" s="17" t="s">
        <v>1083</v>
      </c>
      <c r="D588" s="17" t="s">
        <v>30</v>
      </c>
      <c r="E588" s="18" t="s">
        <v>2543</v>
      </c>
      <c r="F588" s="17"/>
      <c r="G588" s="17"/>
      <c r="H588" s="17"/>
      <c r="I588" s="18" t="s">
        <v>1084</v>
      </c>
    </row>
    <row r="589" spans="2:9" hidden="1" x14ac:dyDescent="0.25">
      <c r="B589" s="17">
        <v>4</v>
      </c>
      <c r="C589" s="17" t="s">
        <v>1085</v>
      </c>
      <c r="D589" s="17" t="s">
        <v>30</v>
      </c>
      <c r="E589" s="18" t="s">
        <v>2544</v>
      </c>
      <c r="F589" s="17"/>
      <c r="G589" s="17"/>
      <c r="H589" s="17"/>
      <c r="I589" s="18" t="s">
        <v>1086</v>
      </c>
    </row>
    <row r="590" spans="2:9" x14ac:dyDescent="0.25">
      <c r="B590" s="17">
        <v>4</v>
      </c>
      <c r="C590" s="17" t="s">
        <v>1087</v>
      </c>
      <c r="D590" s="17" t="s">
        <v>30</v>
      </c>
      <c r="E590" s="18" t="s">
        <v>2545</v>
      </c>
      <c r="F590" s="17" t="s">
        <v>394</v>
      </c>
      <c r="G590" s="17" t="s">
        <v>394</v>
      </c>
      <c r="H590" s="17" t="s">
        <v>46</v>
      </c>
      <c r="I590" s="18" t="s">
        <v>1088</v>
      </c>
    </row>
    <row r="591" spans="2:9" hidden="1" x14ac:dyDescent="0.25">
      <c r="B591" s="17">
        <v>5</v>
      </c>
      <c r="C591" s="17" t="s">
        <v>1075</v>
      </c>
      <c r="D591" s="17" t="s">
        <v>30</v>
      </c>
      <c r="E591" s="18" t="s">
        <v>2536</v>
      </c>
      <c r="F591" s="17"/>
      <c r="G591" s="17"/>
      <c r="H591" s="17"/>
      <c r="I591" s="18" t="s">
        <v>384</v>
      </c>
    </row>
    <row r="592" spans="2:9" hidden="1" x14ac:dyDescent="0.25">
      <c r="B592" s="17">
        <v>6</v>
      </c>
      <c r="C592" s="17" t="s">
        <v>1076</v>
      </c>
      <c r="D592" s="17" t="s">
        <v>30</v>
      </c>
      <c r="E592" s="18" t="s">
        <v>2537</v>
      </c>
      <c r="F592" s="17"/>
      <c r="G592" s="17"/>
      <c r="H592" s="17"/>
      <c r="I592" s="18" t="s">
        <v>1077</v>
      </c>
    </row>
    <row r="593" spans="2:9" hidden="1" x14ac:dyDescent="0.25">
      <c r="B593" s="17">
        <v>6</v>
      </c>
      <c r="C593" s="17" t="s">
        <v>1078</v>
      </c>
      <c r="D593" s="17" t="s">
        <v>30</v>
      </c>
      <c r="E593" s="18" t="s">
        <v>2538</v>
      </c>
      <c r="F593" s="17"/>
      <c r="G593" s="17"/>
      <c r="H593" s="17"/>
      <c r="I593" s="18" t="s">
        <v>1077</v>
      </c>
    </row>
    <row r="594" spans="2:9" hidden="1" x14ac:dyDescent="0.25">
      <c r="B594" s="17">
        <v>6</v>
      </c>
      <c r="C594" s="17" t="s">
        <v>1079</v>
      </c>
      <c r="D594" s="17" t="s">
        <v>30</v>
      </c>
      <c r="E594" s="18" t="s">
        <v>2539</v>
      </c>
      <c r="F594" s="17"/>
      <c r="G594" s="17"/>
      <c r="H594" s="17"/>
      <c r="I594" s="18" t="s">
        <v>1080</v>
      </c>
    </row>
    <row r="595" spans="2:9" hidden="1" x14ac:dyDescent="0.25">
      <c r="B595" s="17">
        <v>6</v>
      </c>
      <c r="C595" s="17" t="s">
        <v>1081</v>
      </c>
      <c r="D595" s="17" t="s">
        <v>40</v>
      </c>
      <c r="E595" s="18" t="s">
        <v>2540</v>
      </c>
      <c r="F595" s="17"/>
      <c r="G595" s="17"/>
      <c r="H595" s="17"/>
      <c r="I595" s="18" t="s">
        <v>145</v>
      </c>
    </row>
    <row r="596" spans="2:9" hidden="1" x14ac:dyDescent="0.25">
      <c r="B596" s="17">
        <v>5</v>
      </c>
      <c r="C596" s="17" t="s">
        <v>1089</v>
      </c>
      <c r="D596" s="17" t="s">
        <v>30</v>
      </c>
      <c r="E596" s="18" t="s">
        <v>2546</v>
      </c>
      <c r="F596" s="17"/>
      <c r="G596" s="17"/>
      <c r="H596" s="17"/>
      <c r="I596" s="18" t="s">
        <v>1090</v>
      </c>
    </row>
    <row r="597" spans="2:9" hidden="1" x14ac:dyDescent="0.25">
      <c r="B597" s="17">
        <v>6</v>
      </c>
      <c r="C597" s="17" t="s">
        <v>1091</v>
      </c>
      <c r="D597" s="17" t="s">
        <v>49</v>
      </c>
      <c r="E597" s="18" t="s">
        <v>2547</v>
      </c>
      <c r="F597" s="17"/>
      <c r="G597" s="17"/>
      <c r="H597" s="17"/>
      <c r="I597" s="18" t="s">
        <v>121</v>
      </c>
    </row>
    <row r="598" spans="2:9" hidden="1" x14ac:dyDescent="0.25">
      <c r="B598" s="17">
        <v>6</v>
      </c>
      <c r="C598" s="17" t="s">
        <v>1069</v>
      </c>
      <c r="D598" s="17" t="s">
        <v>49</v>
      </c>
      <c r="E598" s="18" t="s">
        <v>2532</v>
      </c>
      <c r="F598" s="17"/>
      <c r="G598" s="17"/>
      <c r="H598" s="17"/>
      <c r="I598" s="18" t="s">
        <v>123</v>
      </c>
    </row>
    <row r="599" spans="2:9" hidden="1" x14ac:dyDescent="0.25">
      <c r="B599" s="17">
        <v>6</v>
      </c>
      <c r="C599" s="17" t="s">
        <v>1092</v>
      </c>
      <c r="D599" s="17" t="s">
        <v>30</v>
      </c>
      <c r="E599" s="18" t="s">
        <v>2548</v>
      </c>
      <c r="F599" s="17"/>
      <c r="G599" s="17"/>
      <c r="H599" s="17"/>
      <c r="I599" s="18" t="s">
        <v>1093</v>
      </c>
    </row>
    <row r="600" spans="2:9" hidden="1" x14ac:dyDescent="0.25">
      <c r="B600" s="17">
        <v>5</v>
      </c>
      <c r="C600" s="17" t="s">
        <v>1082</v>
      </c>
      <c r="D600" s="17" t="s">
        <v>30</v>
      </c>
      <c r="E600" s="18" t="s">
        <v>2542</v>
      </c>
      <c r="F600" s="17"/>
      <c r="G600" s="17"/>
      <c r="H600" s="17"/>
      <c r="I600" s="18" t="s">
        <v>816</v>
      </c>
    </row>
    <row r="601" spans="2:9" hidden="1" x14ac:dyDescent="0.25">
      <c r="B601" s="17">
        <v>5</v>
      </c>
      <c r="C601" s="17" t="s">
        <v>107</v>
      </c>
      <c r="D601" s="17" t="s">
        <v>40</v>
      </c>
      <c r="E601" s="18" t="s">
        <v>2101</v>
      </c>
      <c r="F601" s="17"/>
      <c r="G601" s="17"/>
      <c r="H601" s="17"/>
      <c r="I601" s="18" t="s">
        <v>108</v>
      </c>
    </row>
    <row r="602" spans="2:9" hidden="1" x14ac:dyDescent="0.25">
      <c r="B602" s="17">
        <v>4</v>
      </c>
      <c r="C602" s="17" t="s">
        <v>844</v>
      </c>
      <c r="D602" s="17" t="s">
        <v>30</v>
      </c>
      <c r="E602" s="18" t="s">
        <v>2390</v>
      </c>
      <c r="F602" s="17"/>
      <c r="G602" s="17"/>
      <c r="H602" s="17"/>
      <c r="I602" s="18" t="s">
        <v>816</v>
      </c>
    </row>
    <row r="603" spans="2:9" hidden="1" x14ac:dyDescent="0.25">
      <c r="B603" s="17">
        <v>4</v>
      </c>
      <c r="C603" s="17" t="s">
        <v>845</v>
      </c>
      <c r="D603" s="17" t="s">
        <v>30</v>
      </c>
      <c r="E603" s="18" t="s">
        <v>2391</v>
      </c>
      <c r="F603" s="17"/>
      <c r="G603" s="17"/>
      <c r="H603" s="17"/>
      <c r="I603" s="18" t="s">
        <v>816</v>
      </c>
    </row>
    <row r="604" spans="2:9" hidden="1" x14ac:dyDescent="0.25">
      <c r="B604" s="17">
        <v>4</v>
      </c>
      <c r="C604" s="17" t="s">
        <v>107</v>
      </c>
      <c r="D604" s="17" t="s">
        <v>40</v>
      </c>
      <c r="E604" s="18" t="s">
        <v>2108</v>
      </c>
      <c r="F604" s="17"/>
      <c r="G604" s="17"/>
      <c r="H604" s="17"/>
      <c r="I604" s="18" t="s">
        <v>108</v>
      </c>
    </row>
    <row r="605" spans="2:9" hidden="1" x14ac:dyDescent="0.25">
      <c r="B605" s="17">
        <v>3</v>
      </c>
      <c r="C605" s="17" t="s">
        <v>1094</v>
      </c>
      <c r="D605" s="17" t="s">
        <v>30</v>
      </c>
      <c r="E605" s="18" t="s">
        <v>2549</v>
      </c>
      <c r="F605" s="17"/>
      <c r="G605" s="17"/>
      <c r="H605" s="17"/>
      <c r="I605" s="18" t="s">
        <v>1095</v>
      </c>
    </row>
    <row r="606" spans="2:9" hidden="1" x14ac:dyDescent="0.25">
      <c r="B606" s="17">
        <v>4</v>
      </c>
      <c r="C606" s="17" t="s">
        <v>379</v>
      </c>
      <c r="D606" s="17" t="s">
        <v>42</v>
      </c>
      <c r="E606" s="18" t="s">
        <v>2069</v>
      </c>
      <c r="F606" s="17"/>
      <c r="G606" s="17"/>
      <c r="H606" s="17"/>
      <c r="I606" s="18" t="s">
        <v>380</v>
      </c>
    </row>
    <row r="607" spans="2:9" hidden="1" x14ac:dyDescent="0.25">
      <c r="B607" s="17">
        <v>4</v>
      </c>
      <c r="C607" s="17" t="s">
        <v>467</v>
      </c>
      <c r="D607" s="17" t="s">
        <v>43</v>
      </c>
      <c r="E607" s="18" t="s">
        <v>2135</v>
      </c>
      <c r="F607" s="17"/>
      <c r="G607" s="17"/>
      <c r="H607" s="17"/>
      <c r="I607" s="18" t="s">
        <v>468</v>
      </c>
    </row>
    <row r="608" spans="2:9" hidden="1" x14ac:dyDescent="0.25">
      <c r="B608" s="17">
        <v>5</v>
      </c>
      <c r="C608" s="17" t="s">
        <v>469</v>
      </c>
      <c r="D608" s="17" t="s">
        <v>43</v>
      </c>
      <c r="E608" s="18" t="s">
        <v>2136</v>
      </c>
      <c r="F608" s="17"/>
      <c r="G608" s="17"/>
      <c r="H608" s="17"/>
      <c r="I608" s="18" t="s">
        <v>470</v>
      </c>
    </row>
    <row r="609" spans="2:9" hidden="1" x14ac:dyDescent="0.25">
      <c r="B609" s="17">
        <v>5</v>
      </c>
      <c r="C609" s="17" t="s">
        <v>118</v>
      </c>
      <c r="D609" s="17" t="s">
        <v>30</v>
      </c>
      <c r="E609" s="18" t="s">
        <v>2137</v>
      </c>
      <c r="F609" s="17"/>
      <c r="G609" s="17"/>
      <c r="H609" s="17"/>
      <c r="I609" s="18" t="s">
        <v>119</v>
      </c>
    </row>
    <row r="610" spans="2:9" hidden="1" x14ac:dyDescent="0.25">
      <c r="B610" s="17">
        <v>4</v>
      </c>
      <c r="C610" s="17" t="s">
        <v>471</v>
      </c>
      <c r="D610" s="17" t="s">
        <v>30</v>
      </c>
      <c r="E610" s="18" t="s">
        <v>2138</v>
      </c>
      <c r="F610" s="17"/>
      <c r="G610" s="17"/>
      <c r="H610" s="17"/>
      <c r="I610" s="18" t="s">
        <v>472</v>
      </c>
    </row>
    <row r="611" spans="2:9" hidden="1" x14ac:dyDescent="0.25">
      <c r="B611" s="17">
        <v>4</v>
      </c>
      <c r="C611" s="17" t="s">
        <v>1096</v>
      </c>
      <c r="D611" s="17" t="s">
        <v>30</v>
      </c>
      <c r="E611" s="18" t="s">
        <v>2550</v>
      </c>
      <c r="F611" s="17"/>
      <c r="G611" s="17"/>
      <c r="H611" s="17"/>
      <c r="I611" s="18" t="s">
        <v>1097</v>
      </c>
    </row>
    <row r="612" spans="2:9" hidden="1" x14ac:dyDescent="0.25">
      <c r="B612" s="17">
        <v>4</v>
      </c>
      <c r="C612" s="17" t="s">
        <v>475</v>
      </c>
      <c r="D612" s="17" t="s">
        <v>40</v>
      </c>
      <c r="E612" s="18" t="s">
        <v>2140</v>
      </c>
      <c r="F612" s="17"/>
      <c r="G612" s="17"/>
      <c r="H612" s="17"/>
      <c r="I612" s="18" t="s">
        <v>476</v>
      </c>
    </row>
    <row r="613" spans="2:9" hidden="1" x14ac:dyDescent="0.25">
      <c r="B613" s="17">
        <v>4</v>
      </c>
      <c r="C613" s="17" t="s">
        <v>1098</v>
      </c>
      <c r="D613" s="17" t="s">
        <v>30</v>
      </c>
      <c r="E613" s="18" t="s">
        <v>2551</v>
      </c>
      <c r="F613" s="17"/>
      <c r="G613" s="17"/>
      <c r="H613" s="17"/>
      <c r="I613" s="18" t="s">
        <v>1099</v>
      </c>
    </row>
    <row r="614" spans="2:9" hidden="1" x14ac:dyDescent="0.25">
      <c r="B614" s="17">
        <v>5</v>
      </c>
      <c r="C614" s="17" t="s">
        <v>1100</v>
      </c>
      <c r="D614" s="17" t="s">
        <v>30</v>
      </c>
      <c r="E614" s="18" t="s">
        <v>2552</v>
      </c>
      <c r="F614" s="17"/>
      <c r="G614" s="17"/>
      <c r="H614" s="17"/>
      <c r="I614" s="18" t="s">
        <v>1101</v>
      </c>
    </row>
    <row r="615" spans="2:9" hidden="1" x14ac:dyDescent="0.25">
      <c r="B615" s="17">
        <v>6</v>
      </c>
      <c r="C615" s="17" t="s">
        <v>1102</v>
      </c>
      <c r="D615" s="17" t="s">
        <v>41</v>
      </c>
      <c r="E615" s="18" t="s">
        <v>2553</v>
      </c>
      <c r="F615" s="17"/>
      <c r="G615" s="17"/>
      <c r="H615" s="17"/>
      <c r="I615" s="18" t="s">
        <v>1103</v>
      </c>
    </row>
    <row r="616" spans="2:9" hidden="1" x14ac:dyDescent="0.25">
      <c r="B616" s="17">
        <v>6</v>
      </c>
      <c r="C616" s="17" t="s">
        <v>525</v>
      </c>
      <c r="D616" s="17" t="s">
        <v>49</v>
      </c>
      <c r="E616" s="18" t="s">
        <v>2171</v>
      </c>
      <c r="F616" s="17"/>
      <c r="G616" s="17"/>
      <c r="H616" s="17"/>
      <c r="I616" s="18" t="s">
        <v>121</v>
      </c>
    </row>
    <row r="617" spans="2:9" hidden="1" x14ac:dyDescent="0.25">
      <c r="B617" s="17">
        <v>6</v>
      </c>
      <c r="C617" s="17" t="s">
        <v>122</v>
      </c>
      <c r="D617" s="17" t="s">
        <v>49</v>
      </c>
      <c r="E617" s="18" t="s">
        <v>2554</v>
      </c>
      <c r="F617" s="17"/>
      <c r="G617" s="17"/>
      <c r="H617" s="17"/>
      <c r="I617" s="18" t="s">
        <v>123</v>
      </c>
    </row>
    <row r="618" spans="2:9" hidden="1" x14ac:dyDescent="0.25">
      <c r="B618" s="17">
        <v>6</v>
      </c>
      <c r="C618" s="17" t="s">
        <v>1104</v>
      </c>
      <c r="D618" s="17" t="s">
        <v>49</v>
      </c>
      <c r="E618" s="18" t="s">
        <v>2555</v>
      </c>
      <c r="F618" s="17"/>
      <c r="G618" s="17"/>
      <c r="H618" s="17"/>
      <c r="I618" s="18" t="s">
        <v>123</v>
      </c>
    </row>
    <row r="619" spans="2:9" hidden="1" x14ac:dyDescent="0.25">
      <c r="B619" s="17">
        <v>6</v>
      </c>
      <c r="C619" s="17" t="s">
        <v>491</v>
      </c>
      <c r="D619" s="17" t="s">
        <v>49</v>
      </c>
      <c r="E619" s="18" t="s">
        <v>2150</v>
      </c>
      <c r="F619" s="17"/>
      <c r="G619" s="17"/>
      <c r="H619" s="17"/>
      <c r="I619" s="18" t="s">
        <v>127</v>
      </c>
    </row>
    <row r="620" spans="2:9" hidden="1" x14ac:dyDescent="0.25">
      <c r="B620" s="17">
        <v>6</v>
      </c>
      <c r="C620" s="17" t="s">
        <v>1105</v>
      </c>
      <c r="D620" s="17" t="s">
        <v>44</v>
      </c>
      <c r="E620" s="18" t="s">
        <v>2556</v>
      </c>
      <c r="F620" s="17"/>
      <c r="G620" s="17"/>
      <c r="H620" s="17"/>
      <c r="I620" s="18" t="s">
        <v>134</v>
      </c>
    </row>
    <row r="621" spans="2:9" hidden="1" x14ac:dyDescent="0.25">
      <c r="B621" s="17">
        <v>6</v>
      </c>
      <c r="C621" s="17" t="s">
        <v>1106</v>
      </c>
      <c r="D621" s="17" t="s">
        <v>30</v>
      </c>
      <c r="E621" s="18" t="s">
        <v>2557</v>
      </c>
      <c r="F621" s="17"/>
      <c r="G621" s="17"/>
      <c r="H621" s="17"/>
      <c r="I621" s="18" t="s">
        <v>1107</v>
      </c>
    </row>
    <row r="622" spans="2:9" hidden="1" x14ac:dyDescent="0.25">
      <c r="B622" s="17">
        <v>5</v>
      </c>
      <c r="C622" s="17" t="s">
        <v>114</v>
      </c>
      <c r="D622" s="17" t="s">
        <v>30</v>
      </c>
      <c r="E622" s="18" t="s">
        <v>2558</v>
      </c>
      <c r="F622" s="17"/>
      <c r="G622" s="17"/>
      <c r="H622" s="17"/>
      <c r="I622" s="18" t="s">
        <v>115</v>
      </c>
    </row>
    <row r="623" spans="2:9" hidden="1" x14ac:dyDescent="0.25">
      <c r="B623" s="17">
        <v>6</v>
      </c>
      <c r="C623" s="17" t="s">
        <v>116</v>
      </c>
      <c r="D623" s="17" t="s">
        <v>30</v>
      </c>
      <c r="E623" s="18" t="s">
        <v>2559</v>
      </c>
      <c r="F623" s="17"/>
      <c r="G623" s="17"/>
      <c r="H623" s="17"/>
      <c r="I623" s="18" t="s">
        <v>117</v>
      </c>
    </row>
    <row r="624" spans="2:9" hidden="1" x14ac:dyDescent="0.25">
      <c r="B624" s="17">
        <v>6</v>
      </c>
      <c r="C624" s="17" t="s">
        <v>118</v>
      </c>
      <c r="D624" s="17" t="s">
        <v>30</v>
      </c>
      <c r="E624" s="18" t="s">
        <v>2560</v>
      </c>
      <c r="F624" s="17"/>
      <c r="G624" s="17"/>
      <c r="H624" s="17"/>
      <c r="I624" s="18" t="s">
        <v>119</v>
      </c>
    </row>
    <row r="625" spans="2:9" hidden="1" x14ac:dyDescent="0.25">
      <c r="B625" s="17">
        <v>5</v>
      </c>
      <c r="C625" s="17" t="s">
        <v>494</v>
      </c>
      <c r="D625" s="17" t="s">
        <v>30</v>
      </c>
      <c r="E625" s="18" t="s">
        <v>2152</v>
      </c>
      <c r="F625" s="17"/>
      <c r="G625" s="17"/>
      <c r="H625" s="17"/>
      <c r="I625" s="18" t="s">
        <v>135</v>
      </c>
    </row>
    <row r="626" spans="2:9" hidden="1" x14ac:dyDescent="0.25">
      <c r="B626" s="17">
        <v>6</v>
      </c>
      <c r="C626" s="17" t="s">
        <v>485</v>
      </c>
      <c r="D626" s="17" t="s">
        <v>40</v>
      </c>
      <c r="E626" s="18" t="s">
        <v>2146</v>
      </c>
      <c r="F626" s="17"/>
      <c r="G626" s="17"/>
      <c r="H626" s="17"/>
      <c r="I626" s="18" t="s">
        <v>486</v>
      </c>
    </row>
    <row r="627" spans="2:9" hidden="1" x14ac:dyDescent="0.25">
      <c r="B627" s="17">
        <v>6</v>
      </c>
      <c r="C627" s="17" t="s">
        <v>495</v>
      </c>
      <c r="D627" s="17" t="s">
        <v>30</v>
      </c>
      <c r="E627" s="18" t="s">
        <v>2153</v>
      </c>
      <c r="F627" s="17"/>
      <c r="G627" s="17"/>
      <c r="H627" s="17"/>
      <c r="I627" s="18" t="s">
        <v>370</v>
      </c>
    </row>
    <row r="628" spans="2:9" hidden="1" x14ac:dyDescent="0.25">
      <c r="B628" s="17">
        <v>5</v>
      </c>
      <c r="C628" s="17" t="s">
        <v>1108</v>
      </c>
      <c r="D628" s="17" t="s">
        <v>30</v>
      </c>
      <c r="E628" s="18" t="s">
        <v>2561</v>
      </c>
      <c r="F628" s="17"/>
      <c r="G628" s="17"/>
      <c r="H628" s="17"/>
      <c r="I628" s="18" t="s">
        <v>135</v>
      </c>
    </row>
    <row r="629" spans="2:9" hidden="1" x14ac:dyDescent="0.25">
      <c r="B629" s="17">
        <v>6</v>
      </c>
      <c r="C629" s="17" t="s">
        <v>1109</v>
      </c>
      <c r="D629" s="17" t="s">
        <v>43</v>
      </c>
      <c r="E629" s="18" t="s">
        <v>2562</v>
      </c>
      <c r="F629" s="17"/>
      <c r="G629" s="17"/>
      <c r="H629" s="17"/>
      <c r="I629" s="18" t="s">
        <v>109</v>
      </c>
    </row>
    <row r="630" spans="2:9" hidden="1" x14ac:dyDescent="0.25">
      <c r="B630" s="17">
        <v>6</v>
      </c>
      <c r="C630" s="17" t="s">
        <v>1110</v>
      </c>
      <c r="D630" s="17" t="s">
        <v>42</v>
      </c>
      <c r="E630" s="18" t="s">
        <v>2563</v>
      </c>
      <c r="F630" s="17"/>
      <c r="G630" s="17"/>
      <c r="H630" s="17"/>
      <c r="I630" s="18" t="s">
        <v>1111</v>
      </c>
    </row>
    <row r="631" spans="2:9" hidden="1" x14ac:dyDescent="0.25">
      <c r="B631" s="17">
        <v>6</v>
      </c>
      <c r="C631" s="17" t="s">
        <v>1112</v>
      </c>
      <c r="D631" s="17" t="s">
        <v>30</v>
      </c>
      <c r="E631" s="18" t="s">
        <v>2564</v>
      </c>
      <c r="F631" s="17"/>
      <c r="G631" s="17"/>
      <c r="H631" s="17"/>
      <c r="I631" s="18" t="s">
        <v>370</v>
      </c>
    </row>
    <row r="632" spans="2:9" hidden="1" x14ac:dyDescent="0.25">
      <c r="B632" s="17">
        <v>4</v>
      </c>
      <c r="C632" s="17" t="s">
        <v>1113</v>
      </c>
      <c r="D632" s="17" t="s">
        <v>30</v>
      </c>
      <c r="E632" s="18" t="s">
        <v>2565</v>
      </c>
      <c r="F632" s="17"/>
      <c r="G632" s="17"/>
      <c r="H632" s="17"/>
      <c r="I632" s="18" t="s">
        <v>1114</v>
      </c>
    </row>
    <row r="633" spans="2:9" hidden="1" x14ac:dyDescent="0.25">
      <c r="B633" s="17">
        <v>5</v>
      </c>
      <c r="C633" s="17" t="s">
        <v>1115</v>
      </c>
      <c r="D633" s="17" t="s">
        <v>30</v>
      </c>
      <c r="E633" s="18" t="s">
        <v>2566</v>
      </c>
      <c r="F633" s="17"/>
      <c r="G633" s="17"/>
      <c r="H633" s="17"/>
      <c r="I633" s="18" t="s">
        <v>130</v>
      </c>
    </row>
    <row r="634" spans="2:9" hidden="1" x14ac:dyDescent="0.25">
      <c r="B634" s="17">
        <v>5</v>
      </c>
      <c r="C634" s="17" t="s">
        <v>1116</v>
      </c>
      <c r="D634" s="17" t="s">
        <v>49</v>
      </c>
      <c r="E634" s="18" t="s">
        <v>2567</v>
      </c>
      <c r="F634" s="17"/>
      <c r="G634" s="17"/>
      <c r="H634" s="17"/>
      <c r="I634" s="18" t="s">
        <v>127</v>
      </c>
    </row>
    <row r="635" spans="2:9" hidden="1" x14ac:dyDescent="0.25">
      <c r="B635" s="17">
        <v>5</v>
      </c>
      <c r="C635" s="17" t="s">
        <v>126</v>
      </c>
      <c r="D635" s="17" t="s">
        <v>49</v>
      </c>
      <c r="E635" s="18" t="s">
        <v>169</v>
      </c>
      <c r="F635" s="17"/>
      <c r="G635" s="17"/>
      <c r="H635" s="17"/>
      <c r="I635" s="18" t="s">
        <v>127</v>
      </c>
    </row>
    <row r="636" spans="2:9" hidden="1" x14ac:dyDescent="0.25">
      <c r="B636" s="17">
        <v>5</v>
      </c>
      <c r="C636" s="17" t="s">
        <v>417</v>
      </c>
      <c r="D636" s="17" t="s">
        <v>49</v>
      </c>
      <c r="E636" s="18" t="s">
        <v>2124</v>
      </c>
      <c r="F636" s="17"/>
      <c r="G636" s="17"/>
      <c r="H636" s="17"/>
      <c r="I636" s="18" t="s">
        <v>125</v>
      </c>
    </row>
    <row r="637" spans="2:9" hidden="1" x14ac:dyDescent="0.25">
      <c r="B637" s="17">
        <v>5</v>
      </c>
      <c r="C637" s="17" t="s">
        <v>1117</v>
      </c>
      <c r="D637" s="17" t="s">
        <v>174</v>
      </c>
      <c r="E637" s="18" t="s">
        <v>2568</v>
      </c>
      <c r="F637" s="17"/>
      <c r="G637" s="17"/>
      <c r="H637" s="17"/>
      <c r="I637" s="18" t="s">
        <v>134</v>
      </c>
    </row>
    <row r="638" spans="2:9" hidden="1" x14ac:dyDescent="0.25">
      <c r="B638" s="17">
        <v>5</v>
      </c>
      <c r="C638" s="17" t="s">
        <v>1118</v>
      </c>
      <c r="D638" s="17" t="s">
        <v>30</v>
      </c>
      <c r="E638" s="18" t="s">
        <v>2569</v>
      </c>
      <c r="F638" s="17"/>
      <c r="G638" s="17"/>
      <c r="H638" s="17"/>
      <c r="I638" s="18" t="s">
        <v>1119</v>
      </c>
    </row>
    <row r="639" spans="2:9" hidden="1" x14ac:dyDescent="0.25">
      <c r="B639" s="17">
        <v>4</v>
      </c>
      <c r="C639" s="17" t="s">
        <v>1120</v>
      </c>
      <c r="D639" s="17" t="s">
        <v>30</v>
      </c>
      <c r="E639" s="18" t="s">
        <v>2570</v>
      </c>
      <c r="F639" s="17"/>
      <c r="G639" s="17"/>
      <c r="H639" s="17"/>
      <c r="I639" s="18" t="s">
        <v>1121</v>
      </c>
    </row>
    <row r="640" spans="2:9" hidden="1" x14ac:dyDescent="0.25">
      <c r="B640" s="17">
        <v>5</v>
      </c>
      <c r="C640" s="17" t="s">
        <v>498</v>
      </c>
      <c r="D640" s="17" t="s">
        <v>49</v>
      </c>
      <c r="E640" s="18" t="s">
        <v>2155</v>
      </c>
      <c r="F640" s="17"/>
      <c r="G640" s="17"/>
      <c r="H640" s="17"/>
      <c r="I640" s="18" t="s">
        <v>127</v>
      </c>
    </row>
    <row r="641" spans="2:9" hidden="1" x14ac:dyDescent="0.25">
      <c r="B641" s="17">
        <v>5</v>
      </c>
      <c r="C641" s="17" t="s">
        <v>417</v>
      </c>
      <c r="D641" s="17" t="s">
        <v>49</v>
      </c>
      <c r="E641" s="18" t="s">
        <v>2124</v>
      </c>
      <c r="F641" s="17"/>
      <c r="G641" s="17"/>
      <c r="H641" s="17"/>
      <c r="I641" s="18" t="s">
        <v>125</v>
      </c>
    </row>
    <row r="642" spans="2:9" hidden="1" x14ac:dyDescent="0.25">
      <c r="B642" s="17">
        <v>5</v>
      </c>
      <c r="C642" s="17" t="s">
        <v>516</v>
      </c>
      <c r="D642" s="17" t="s">
        <v>41</v>
      </c>
      <c r="E642" s="18" t="s">
        <v>2166</v>
      </c>
      <c r="F642" s="17"/>
      <c r="G642" s="17"/>
      <c r="H642" s="17"/>
      <c r="I642" s="18" t="s">
        <v>517</v>
      </c>
    </row>
    <row r="643" spans="2:9" hidden="1" x14ac:dyDescent="0.25">
      <c r="B643" s="17">
        <v>5</v>
      </c>
      <c r="C643" s="17" t="s">
        <v>1117</v>
      </c>
      <c r="D643" s="17" t="s">
        <v>174</v>
      </c>
      <c r="E643" s="18" t="s">
        <v>2568</v>
      </c>
      <c r="F643" s="17"/>
      <c r="G643" s="17"/>
      <c r="H643" s="17"/>
      <c r="I643" s="18" t="s">
        <v>134</v>
      </c>
    </row>
    <row r="644" spans="2:9" hidden="1" x14ac:dyDescent="0.25">
      <c r="B644" s="17">
        <v>5</v>
      </c>
      <c r="C644" s="17" t="s">
        <v>1122</v>
      </c>
      <c r="D644" s="17" t="s">
        <v>30</v>
      </c>
      <c r="E644" s="18" t="s">
        <v>2571</v>
      </c>
      <c r="F644" s="17"/>
      <c r="G644" s="17"/>
      <c r="H644" s="17"/>
      <c r="I644" s="18" t="s">
        <v>1123</v>
      </c>
    </row>
    <row r="645" spans="2:9" hidden="1" x14ac:dyDescent="0.25">
      <c r="B645" s="17">
        <v>4</v>
      </c>
      <c r="C645" s="17" t="s">
        <v>1124</v>
      </c>
      <c r="D645" s="17" t="s">
        <v>30</v>
      </c>
      <c r="E645" s="18" t="s">
        <v>2572</v>
      </c>
      <c r="F645" s="17"/>
      <c r="G645" s="17"/>
      <c r="H645" s="17"/>
      <c r="I645" s="18" t="s">
        <v>1125</v>
      </c>
    </row>
    <row r="646" spans="2:9" hidden="1" x14ac:dyDescent="0.25">
      <c r="B646" s="17">
        <v>5</v>
      </c>
      <c r="C646" s="17" t="s">
        <v>124</v>
      </c>
      <c r="D646" s="17" t="s">
        <v>49</v>
      </c>
      <c r="E646" s="18" t="s">
        <v>2114</v>
      </c>
      <c r="F646" s="17"/>
      <c r="G646" s="17"/>
      <c r="H646" s="17"/>
      <c r="I646" s="18" t="s">
        <v>125</v>
      </c>
    </row>
    <row r="647" spans="2:9" hidden="1" x14ac:dyDescent="0.25">
      <c r="B647" s="17">
        <v>5</v>
      </c>
      <c r="C647" s="17" t="s">
        <v>417</v>
      </c>
      <c r="D647" s="17" t="s">
        <v>49</v>
      </c>
      <c r="E647" s="18" t="s">
        <v>2124</v>
      </c>
      <c r="F647" s="17"/>
      <c r="G647" s="17"/>
      <c r="H647" s="17"/>
      <c r="I647" s="18" t="s">
        <v>125</v>
      </c>
    </row>
    <row r="648" spans="2:9" hidden="1" x14ac:dyDescent="0.25">
      <c r="B648" s="17">
        <v>5</v>
      </c>
      <c r="C648" s="17" t="s">
        <v>1117</v>
      </c>
      <c r="D648" s="17" t="s">
        <v>174</v>
      </c>
      <c r="E648" s="18" t="s">
        <v>2568</v>
      </c>
      <c r="F648" s="17"/>
      <c r="G648" s="17"/>
      <c r="H648" s="17"/>
      <c r="I648" s="18" t="s">
        <v>134</v>
      </c>
    </row>
    <row r="649" spans="2:9" hidden="1" x14ac:dyDescent="0.25">
      <c r="B649" s="17">
        <v>5</v>
      </c>
      <c r="C649" s="17" t="s">
        <v>1126</v>
      </c>
      <c r="D649" s="17" t="s">
        <v>30</v>
      </c>
      <c r="E649" s="18" t="s">
        <v>2573</v>
      </c>
      <c r="F649" s="17"/>
      <c r="G649" s="17"/>
      <c r="H649" s="17"/>
      <c r="I649" s="18" t="s">
        <v>1127</v>
      </c>
    </row>
    <row r="650" spans="2:9" hidden="1" x14ac:dyDescent="0.25">
      <c r="B650" s="17">
        <v>4</v>
      </c>
      <c r="C650" s="17" t="s">
        <v>1128</v>
      </c>
      <c r="D650" s="17" t="s">
        <v>30</v>
      </c>
      <c r="E650" s="18" t="s">
        <v>2574</v>
      </c>
      <c r="F650" s="17"/>
      <c r="G650" s="17"/>
      <c r="H650" s="17"/>
      <c r="I650" s="18" t="s">
        <v>1129</v>
      </c>
    </row>
    <row r="651" spans="2:9" hidden="1" x14ac:dyDescent="0.25">
      <c r="B651" s="17">
        <v>4</v>
      </c>
      <c r="C651" s="17" t="s">
        <v>1130</v>
      </c>
      <c r="D651" s="17" t="s">
        <v>30</v>
      </c>
      <c r="E651" s="18" t="s">
        <v>2575</v>
      </c>
      <c r="F651" s="17"/>
      <c r="G651" s="17"/>
      <c r="H651" s="17"/>
      <c r="I651" s="18" t="s">
        <v>1131</v>
      </c>
    </row>
    <row r="652" spans="2:9" hidden="1" x14ac:dyDescent="0.25">
      <c r="B652" s="17">
        <v>4</v>
      </c>
      <c r="C652" s="17" t="s">
        <v>1132</v>
      </c>
      <c r="D652" s="17" t="s">
        <v>30</v>
      </c>
      <c r="E652" s="18" t="s">
        <v>2576</v>
      </c>
      <c r="F652" s="17"/>
      <c r="G652" s="17"/>
      <c r="H652" s="17"/>
      <c r="I652" s="18" t="s">
        <v>1133</v>
      </c>
    </row>
    <row r="653" spans="2:9" hidden="1" x14ac:dyDescent="0.25">
      <c r="B653" s="17">
        <v>5</v>
      </c>
      <c r="C653" s="17" t="s">
        <v>1069</v>
      </c>
      <c r="D653" s="17" t="s">
        <v>49</v>
      </c>
      <c r="E653" s="18" t="s">
        <v>2577</v>
      </c>
      <c r="F653" s="17"/>
      <c r="G653" s="17"/>
      <c r="H653" s="17"/>
      <c r="I653" s="18" t="s">
        <v>123</v>
      </c>
    </row>
    <row r="654" spans="2:9" hidden="1" x14ac:dyDescent="0.25">
      <c r="B654" s="17">
        <v>5</v>
      </c>
      <c r="C654" s="17" t="s">
        <v>1134</v>
      </c>
      <c r="D654" s="17" t="s">
        <v>49</v>
      </c>
      <c r="E654" s="18" t="s">
        <v>2578</v>
      </c>
      <c r="F654" s="17"/>
      <c r="G654" s="17"/>
      <c r="H654" s="17"/>
      <c r="I654" s="18" t="s">
        <v>125</v>
      </c>
    </row>
    <row r="655" spans="2:9" hidden="1" x14ac:dyDescent="0.25">
      <c r="B655" s="17">
        <v>5</v>
      </c>
      <c r="C655" s="17" t="s">
        <v>1135</v>
      </c>
      <c r="D655" s="17" t="s">
        <v>30</v>
      </c>
      <c r="E655" s="18" t="s">
        <v>2579</v>
      </c>
      <c r="F655" s="17"/>
      <c r="G655" s="17"/>
      <c r="H655" s="17"/>
      <c r="I655" s="18" t="s">
        <v>1136</v>
      </c>
    </row>
    <row r="656" spans="2:9" hidden="1" x14ac:dyDescent="0.25">
      <c r="B656" s="17">
        <v>5</v>
      </c>
      <c r="C656" s="17" t="s">
        <v>1137</v>
      </c>
      <c r="D656" s="17" t="s">
        <v>30</v>
      </c>
      <c r="E656" s="18" t="s">
        <v>2580</v>
      </c>
      <c r="F656" s="17"/>
      <c r="G656" s="17"/>
      <c r="H656" s="17"/>
      <c r="I656" s="18" t="s">
        <v>1138</v>
      </c>
    </row>
    <row r="657" spans="2:9" hidden="1" x14ac:dyDescent="0.25">
      <c r="B657" s="17">
        <v>4</v>
      </c>
      <c r="C657" s="17" t="s">
        <v>1139</v>
      </c>
      <c r="D657" s="17" t="s">
        <v>30</v>
      </c>
      <c r="E657" s="18" t="s">
        <v>2581</v>
      </c>
      <c r="F657" s="17"/>
      <c r="G657" s="17"/>
      <c r="H657" s="17"/>
      <c r="I657" s="18" t="s">
        <v>1140</v>
      </c>
    </row>
    <row r="658" spans="2:9" hidden="1" x14ac:dyDescent="0.25">
      <c r="B658" s="17">
        <v>4</v>
      </c>
      <c r="C658" s="17" t="s">
        <v>1141</v>
      </c>
      <c r="D658" s="17" t="s">
        <v>30</v>
      </c>
      <c r="E658" s="18" t="s">
        <v>2582</v>
      </c>
      <c r="F658" s="17"/>
      <c r="G658" s="17"/>
      <c r="H658" s="17"/>
      <c r="I658" s="18" t="s">
        <v>1142</v>
      </c>
    </row>
    <row r="659" spans="2:9" hidden="1" x14ac:dyDescent="0.25">
      <c r="B659" s="17">
        <v>5</v>
      </c>
      <c r="C659" s="17" t="s">
        <v>525</v>
      </c>
      <c r="D659" s="17" t="s">
        <v>49</v>
      </c>
      <c r="E659" s="18" t="s">
        <v>2583</v>
      </c>
      <c r="F659" s="17"/>
      <c r="G659" s="17"/>
      <c r="H659" s="17"/>
      <c r="I659" s="18" t="s">
        <v>121</v>
      </c>
    </row>
    <row r="660" spans="2:9" hidden="1" x14ac:dyDescent="0.25">
      <c r="B660" s="17">
        <v>5</v>
      </c>
      <c r="C660" s="17" t="s">
        <v>122</v>
      </c>
      <c r="D660" s="17" t="s">
        <v>49</v>
      </c>
      <c r="E660" s="18" t="s">
        <v>168</v>
      </c>
      <c r="F660" s="17"/>
      <c r="G660" s="17"/>
      <c r="H660" s="17"/>
      <c r="I660" s="18" t="s">
        <v>123</v>
      </c>
    </row>
    <row r="661" spans="2:9" hidden="1" x14ac:dyDescent="0.25">
      <c r="B661" s="17">
        <v>5</v>
      </c>
      <c r="C661" s="17" t="s">
        <v>1143</v>
      </c>
      <c r="D661" s="17" t="s">
        <v>42</v>
      </c>
      <c r="E661" s="18" t="s">
        <v>2584</v>
      </c>
      <c r="F661" s="17"/>
      <c r="G661" s="17"/>
      <c r="H661" s="17"/>
      <c r="I661" s="18" t="s">
        <v>500</v>
      </c>
    </row>
    <row r="662" spans="2:9" hidden="1" x14ac:dyDescent="0.25">
      <c r="B662" s="17">
        <v>5</v>
      </c>
      <c r="C662" s="17" t="s">
        <v>1144</v>
      </c>
      <c r="D662" s="17" t="s">
        <v>30</v>
      </c>
      <c r="E662" s="18" t="s">
        <v>2585</v>
      </c>
      <c r="F662" s="17"/>
      <c r="G662" s="17"/>
      <c r="H662" s="17"/>
      <c r="I662" s="18" t="s">
        <v>1145</v>
      </c>
    </row>
    <row r="663" spans="2:9" hidden="1" x14ac:dyDescent="0.25">
      <c r="B663" s="17">
        <v>4</v>
      </c>
      <c r="C663" s="17" t="s">
        <v>1146</v>
      </c>
      <c r="D663" s="17" t="s">
        <v>30</v>
      </c>
      <c r="E663" s="18" t="s">
        <v>2586</v>
      </c>
      <c r="F663" s="17"/>
      <c r="G663" s="17"/>
      <c r="H663" s="17"/>
      <c r="I663" s="18" t="s">
        <v>1147</v>
      </c>
    </row>
    <row r="664" spans="2:9" hidden="1" x14ac:dyDescent="0.25">
      <c r="B664" s="17">
        <v>5</v>
      </c>
      <c r="C664" s="17" t="s">
        <v>417</v>
      </c>
      <c r="D664" s="17" t="s">
        <v>49</v>
      </c>
      <c r="E664" s="18" t="s">
        <v>2124</v>
      </c>
      <c r="F664" s="17"/>
      <c r="G664" s="17"/>
      <c r="H664" s="17"/>
      <c r="I664" s="18" t="s">
        <v>125</v>
      </c>
    </row>
    <row r="665" spans="2:9" hidden="1" x14ac:dyDescent="0.25">
      <c r="B665" s="17">
        <v>5</v>
      </c>
      <c r="C665" s="17" t="s">
        <v>1117</v>
      </c>
      <c r="D665" s="17" t="s">
        <v>174</v>
      </c>
      <c r="E665" s="18" t="s">
        <v>2568</v>
      </c>
      <c r="F665" s="17"/>
      <c r="G665" s="17"/>
      <c r="H665" s="17"/>
      <c r="I665" s="18" t="s">
        <v>134</v>
      </c>
    </row>
    <row r="666" spans="2:9" hidden="1" x14ac:dyDescent="0.25">
      <c r="B666" s="17">
        <v>5</v>
      </c>
      <c r="C666" s="17" t="s">
        <v>1148</v>
      </c>
      <c r="D666" s="17" t="s">
        <v>30</v>
      </c>
      <c r="E666" s="18" t="s">
        <v>2587</v>
      </c>
      <c r="F666" s="17"/>
      <c r="G666" s="17"/>
      <c r="H666" s="17"/>
      <c r="I666" s="18" t="s">
        <v>1149</v>
      </c>
    </row>
    <row r="667" spans="2:9" hidden="1" x14ac:dyDescent="0.25">
      <c r="B667" s="17">
        <v>4</v>
      </c>
      <c r="C667" s="17" t="s">
        <v>1150</v>
      </c>
      <c r="D667" s="17" t="s">
        <v>40</v>
      </c>
      <c r="E667" s="18" t="s">
        <v>2588</v>
      </c>
      <c r="F667" s="17"/>
      <c r="G667" s="17"/>
      <c r="H667" s="17"/>
      <c r="I667" s="18" t="s">
        <v>437</v>
      </c>
    </row>
    <row r="668" spans="2:9" hidden="1" x14ac:dyDescent="0.25">
      <c r="B668" s="17">
        <v>4</v>
      </c>
      <c r="C668" s="17" t="s">
        <v>1151</v>
      </c>
      <c r="D668" s="17" t="s">
        <v>30</v>
      </c>
      <c r="E668" s="18" t="s">
        <v>2589</v>
      </c>
      <c r="F668" s="17"/>
      <c r="G668" s="17"/>
      <c r="H668" s="17"/>
      <c r="I668" s="18" t="s">
        <v>1152</v>
      </c>
    </row>
    <row r="669" spans="2:9" hidden="1" x14ac:dyDescent="0.25">
      <c r="B669" s="17">
        <v>5</v>
      </c>
      <c r="C669" s="17" t="s">
        <v>126</v>
      </c>
      <c r="D669" s="17" t="s">
        <v>49</v>
      </c>
      <c r="E669" s="18" t="s">
        <v>169</v>
      </c>
      <c r="F669" s="17"/>
      <c r="G669" s="17"/>
      <c r="H669" s="17"/>
      <c r="I669" s="18" t="s">
        <v>127</v>
      </c>
    </row>
    <row r="670" spans="2:9" hidden="1" x14ac:dyDescent="0.25">
      <c r="B670" s="17">
        <v>5</v>
      </c>
      <c r="C670" s="17" t="s">
        <v>1153</v>
      </c>
      <c r="D670" s="17" t="s">
        <v>30</v>
      </c>
      <c r="E670" s="18" t="s">
        <v>2590</v>
      </c>
      <c r="F670" s="17"/>
      <c r="G670" s="17"/>
      <c r="H670" s="17"/>
      <c r="I670" s="18" t="s">
        <v>1154</v>
      </c>
    </row>
    <row r="671" spans="2:9" hidden="1" x14ac:dyDescent="0.25">
      <c r="B671" s="17">
        <v>4</v>
      </c>
      <c r="C671" s="17" t="s">
        <v>1155</v>
      </c>
      <c r="D671" s="17" t="s">
        <v>40</v>
      </c>
      <c r="E671" s="18" t="s">
        <v>2591</v>
      </c>
      <c r="F671" s="17"/>
      <c r="G671" s="17"/>
      <c r="H671" s="17"/>
      <c r="I671" s="18" t="s">
        <v>1156</v>
      </c>
    </row>
    <row r="672" spans="2:9" hidden="1" x14ac:dyDescent="0.25">
      <c r="B672" s="17">
        <v>4</v>
      </c>
      <c r="C672" s="17" t="s">
        <v>1157</v>
      </c>
      <c r="D672" s="17" t="s">
        <v>42</v>
      </c>
      <c r="E672" s="18" t="s">
        <v>2592</v>
      </c>
      <c r="F672" s="17"/>
      <c r="G672" s="17"/>
      <c r="H672" s="17"/>
      <c r="I672" s="18" t="s">
        <v>1158</v>
      </c>
    </row>
    <row r="673" spans="2:9" hidden="1" x14ac:dyDescent="0.25">
      <c r="B673" s="17">
        <v>4</v>
      </c>
      <c r="C673" s="17" t="s">
        <v>1159</v>
      </c>
      <c r="D673" s="17" t="s">
        <v>41</v>
      </c>
      <c r="E673" s="18" t="s">
        <v>2593</v>
      </c>
      <c r="F673" s="17"/>
      <c r="G673" s="17"/>
      <c r="H673" s="17"/>
      <c r="I673" s="18" t="s">
        <v>1160</v>
      </c>
    </row>
    <row r="674" spans="2:9" hidden="1" x14ac:dyDescent="0.25">
      <c r="B674" s="17">
        <v>5</v>
      </c>
      <c r="C674" s="17" t="s">
        <v>525</v>
      </c>
      <c r="D674" s="17" t="s">
        <v>49</v>
      </c>
      <c r="E674" s="18" t="s">
        <v>2583</v>
      </c>
      <c r="F674" s="17"/>
      <c r="G674" s="17"/>
      <c r="H674" s="17"/>
      <c r="I674" s="18" t="s">
        <v>121</v>
      </c>
    </row>
    <row r="675" spans="2:9" hidden="1" x14ac:dyDescent="0.25">
      <c r="B675" s="17">
        <v>5</v>
      </c>
      <c r="C675" s="17" t="s">
        <v>126</v>
      </c>
      <c r="D675" s="17" t="s">
        <v>49</v>
      </c>
      <c r="E675" s="18" t="s">
        <v>169</v>
      </c>
      <c r="F675" s="17"/>
      <c r="G675" s="17"/>
      <c r="H675" s="17"/>
      <c r="I675" s="18" t="s">
        <v>127</v>
      </c>
    </row>
    <row r="676" spans="2:9" hidden="1" x14ac:dyDescent="0.25">
      <c r="B676" s="17">
        <v>5</v>
      </c>
      <c r="C676" s="17" t="s">
        <v>1161</v>
      </c>
      <c r="D676" s="17" t="s">
        <v>41</v>
      </c>
      <c r="E676" s="18" t="s">
        <v>2594</v>
      </c>
      <c r="F676" s="17"/>
      <c r="G676" s="17"/>
      <c r="H676" s="17"/>
      <c r="I676" s="18" t="s">
        <v>1162</v>
      </c>
    </row>
    <row r="677" spans="2:9" hidden="1" x14ac:dyDescent="0.25">
      <c r="B677" s="17">
        <v>4</v>
      </c>
      <c r="C677" s="17" t="s">
        <v>1163</v>
      </c>
      <c r="D677" s="17" t="s">
        <v>30</v>
      </c>
      <c r="E677" s="18" t="s">
        <v>2595</v>
      </c>
      <c r="F677" s="17"/>
      <c r="G677" s="17"/>
      <c r="H677" s="17"/>
      <c r="I677" s="18" t="s">
        <v>1162</v>
      </c>
    </row>
    <row r="678" spans="2:9" hidden="1" x14ac:dyDescent="0.25">
      <c r="B678" s="17">
        <v>4</v>
      </c>
      <c r="C678" s="17" t="s">
        <v>1164</v>
      </c>
      <c r="D678" s="17" t="s">
        <v>30</v>
      </c>
      <c r="E678" s="18" t="s">
        <v>2596</v>
      </c>
      <c r="F678" s="17"/>
      <c r="G678" s="17"/>
      <c r="H678" s="17"/>
      <c r="I678" s="18" t="s">
        <v>1165</v>
      </c>
    </row>
    <row r="679" spans="2:9" hidden="1" x14ac:dyDescent="0.25">
      <c r="B679" s="17">
        <v>5</v>
      </c>
      <c r="C679" s="17" t="s">
        <v>126</v>
      </c>
      <c r="D679" s="17" t="s">
        <v>49</v>
      </c>
      <c r="E679" s="18" t="s">
        <v>169</v>
      </c>
      <c r="F679" s="17"/>
      <c r="G679" s="17"/>
      <c r="H679" s="17"/>
      <c r="I679" s="18" t="s">
        <v>127</v>
      </c>
    </row>
    <row r="680" spans="2:9" hidden="1" x14ac:dyDescent="0.25">
      <c r="B680" s="17">
        <v>5</v>
      </c>
      <c r="C680" s="17" t="s">
        <v>1166</v>
      </c>
      <c r="D680" s="17" t="s">
        <v>30</v>
      </c>
      <c r="E680" s="18" t="s">
        <v>2597</v>
      </c>
      <c r="F680" s="17"/>
      <c r="G680" s="17"/>
      <c r="H680" s="17"/>
      <c r="I680" s="18" t="s">
        <v>1167</v>
      </c>
    </row>
    <row r="681" spans="2:9" hidden="1" x14ac:dyDescent="0.25">
      <c r="B681" s="17">
        <v>4</v>
      </c>
      <c r="C681" s="17" t="s">
        <v>1168</v>
      </c>
      <c r="D681" s="17" t="s">
        <v>30</v>
      </c>
      <c r="E681" s="18" t="s">
        <v>2598</v>
      </c>
      <c r="F681" s="17"/>
      <c r="G681" s="17"/>
      <c r="H681" s="17"/>
      <c r="I681" s="18" t="s">
        <v>1169</v>
      </c>
    </row>
    <row r="682" spans="2:9" hidden="1" x14ac:dyDescent="0.25">
      <c r="B682" s="17">
        <v>5</v>
      </c>
      <c r="C682" s="17" t="s">
        <v>1170</v>
      </c>
      <c r="D682" s="17" t="s">
        <v>41</v>
      </c>
      <c r="E682" s="18" t="s">
        <v>2599</v>
      </c>
      <c r="F682" s="17"/>
      <c r="G682" s="17"/>
      <c r="H682" s="17"/>
      <c r="I682" s="18" t="s">
        <v>1171</v>
      </c>
    </row>
    <row r="683" spans="2:9" hidden="1" x14ac:dyDescent="0.25">
      <c r="B683" s="17">
        <v>5</v>
      </c>
      <c r="C683" s="17" t="s">
        <v>1172</v>
      </c>
      <c r="D683" s="17" t="s">
        <v>41</v>
      </c>
      <c r="E683" s="18" t="s">
        <v>2600</v>
      </c>
      <c r="F683" s="17"/>
      <c r="G683" s="17"/>
      <c r="H683" s="17"/>
      <c r="I683" s="18" t="s">
        <v>1173</v>
      </c>
    </row>
    <row r="684" spans="2:9" hidden="1" x14ac:dyDescent="0.25">
      <c r="B684" s="17">
        <v>5</v>
      </c>
      <c r="C684" s="17" t="s">
        <v>1102</v>
      </c>
      <c r="D684" s="17" t="s">
        <v>41</v>
      </c>
      <c r="E684" s="18" t="s">
        <v>2601</v>
      </c>
      <c r="F684" s="17"/>
      <c r="G684" s="17"/>
      <c r="H684" s="17"/>
      <c r="I684" s="18" t="s">
        <v>1103</v>
      </c>
    </row>
    <row r="685" spans="2:9" hidden="1" x14ac:dyDescent="0.25">
      <c r="B685" s="17">
        <v>5</v>
      </c>
      <c r="C685" s="17" t="s">
        <v>1174</v>
      </c>
      <c r="D685" s="17" t="s">
        <v>42</v>
      </c>
      <c r="E685" s="18" t="s">
        <v>2602</v>
      </c>
      <c r="F685" s="17"/>
      <c r="G685" s="17"/>
      <c r="H685" s="17"/>
      <c r="I685" s="18" t="s">
        <v>1175</v>
      </c>
    </row>
    <row r="686" spans="2:9" hidden="1" x14ac:dyDescent="0.25">
      <c r="B686" s="17">
        <v>5</v>
      </c>
      <c r="C686" s="17" t="s">
        <v>1176</v>
      </c>
      <c r="D686" s="17" t="s">
        <v>42</v>
      </c>
      <c r="E686" s="18" t="s">
        <v>2603</v>
      </c>
      <c r="F686" s="17"/>
      <c r="G686" s="17"/>
      <c r="H686" s="17"/>
      <c r="I686" s="18" t="s">
        <v>1177</v>
      </c>
    </row>
    <row r="687" spans="2:9" hidden="1" x14ac:dyDescent="0.25">
      <c r="B687" s="17">
        <v>5</v>
      </c>
      <c r="C687" s="17" t="s">
        <v>1178</v>
      </c>
      <c r="D687" s="17" t="s">
        <v>49</v>
      </c>
      <c r="E687" s="18" t="s">
        <v>2604</v>
      </c>
      <c r="F687" s="17"/>
      <c r="G687" s="17"/>
      <c r="H687" s="17"/>
      <c r="I687" s="18" t="s">
        <v>127</v>
      </c>
    </row>
    <row r="688" spans="2:9" hidden="1" x14ac:dyDescent="0.25">
      <c r="B688" s="17">
        <v>5</v>
      </c>
      <c r="C688" s="17" t="s">
        <v>1105</v>
      </c>
      <c r="D688" s="17" t="s">
        <v>44</v>
      </c>
      <c r="E688" s="18" t="s">
        <v>2605</v>
      </c>
      <c r="F688" s="17"/>
      <c r="G688" s="17"/>
      <c r="H688" s="17"/>
      <c r="I688" s="18" t="s">
        <v>134</v>
      </c>
    </row>
    <row r="689" spans="2:9" hidden="1" x14ac:dyDescent="0.25">
      <c r="B689" s="17">
        <v>5</v>
      </c>
      <c r="C689" s="17" t="s">
        <v>1179</v>
      </c>
      <c r="D689" s="17" t="s">
        <v>30</v>
      </c>
      <c r="E689" s="18" t="s">
        <v>2606</v>
      </c>
      <c r="F689" s="17"/>
      <c r="G689" s="17"/>
      <c r="H689" s="17"/>
      <c r="I689" s="18" t="s">
        <v>1180</v>
      </c>
    </row>
    <row r="690" spans="2:9" hidden="1" x14ac:dyDescent="0.25">
      <c r="B690" s="17">
        <v>4</v>
      </c>
      <c r="C690" s="17" t="s">
        <v>1181</v>
      </c>
      <c r="D690" s="17" t="s">
        <v>30</v>
      </c>
      <c r="E690" s="18" t="s">
        <v>2607</v>
      </c>
      <c r="F690" s="17"/>
      <c r="G690" s="17"/>
      <c r="H690" s="17"/>
      <c r="I690" s="18" t="s">
        <v>1152</v>
      </c>
    </row>
    <row r="691" spans="2:9" hidden="1" x14ac:dyDescent="0.25">
      <c r="B691" s="17">
        <v>5</v>
      </c>
      <c r="C691" s="17" t="s">
        <v>126</v>
      </c>
      <c r="D691" s="17" t="s">
        <v>49</v>
      </c>
      <c r="E691" s="18" t="s">
        <v>169</v>
      </c>
      <c r="F691" s="17"/>
      <c r="G691" s="17"/>
      <c r="H691" s="17"/>
      <c r="I691" s="18" t="s">
        <v>127</v>
      </c>
    </row>
    <row r="692" spans="2:9" hidden="1" x14ac:dyDescent="0.25">
      <c r="B692" s="17">
        <v>5</v>
      </c>
      <c r="C692" s="17" t="s">
        <v>1182</v>
      </c>
      <c r="D692" s="17" t="s">
        <v>30</v>
      </c>
      <c r="E692" s="18" t="s">
        <v>2608</v>
      </c>
      <c r="F692" s="17"/>
      <c r="G692" s="17"/>
      <c r="H692" s="17"/>
      <c r="I692" s="18" t="s">
        <v>1154</v>
      </c>
    </row>
    <row r="693" spans="2:9" hidden="1" x14ac:dyDescent="0.25">
      <c r="B693" s="17">
        <v>4</v>
      </c>
      <c r="C693" s="17" t="s">
        <v>1183</v>
      </c>
      <c r="D693" s="17" t="s">
        <v>30</v>
      </c>
      <c r="E693" s="18" t="s">
        <v>2609</v>
      </c>
      <c r="F693" s="17"/>
      <c r="G693" s="17"/>
      <c r="H693" s="17"/>
      <c r="I693" s="18" t="s">
        <v>1184</v>
      </c>
    </row>
    <row r="694" spans="2:9" hidden="1" x14ac:dyDescent="0.25">
      <c r="B694" s="17">
        <v>4</v>
      </c>
      <c r="C694" s="17" t="s">
        <v>1185</v>
      </c>
      <c r="D694" s="17" t="s">
        <v>30</v>
      </c>
      <c r="E694" s="18" t="s">
        <v>2610</v>
      </c>
      <c r="F694" s="17"/>
      <c r="G694" s="17"/>
      <c r="H694" s="17"/>
      <c r="I694" s="18" t="s">
        <v>1162</v>
      </c>
    </row>
    <row r="695" spans="2:9" hidden="1" x14ac:dyDescent="0.25">
      <c r="B695" s="17">
        <v>4</v>
      </c>
      <c r="C695" s="17" t="s">
        <v>1186</v>
      </c>
      <c r="D695" s="17" t="s">
        <v>30</v>
      </c>
      <c r="E695" s="18" t="s">
        <v>2611</v>
      </c>
      <c r="F695" s="17"/>
      <c r="G695" s="17"/>
      <c r="H695" s="17"/>
      <c r="I695" s="18" t="s">
        <v>1187</v>
      </c>
    </row>
    <row r="696" spans="2:9" hidden="1" x14ac:dyDescent="0.25">
      <c r="B696" s="17">
        <v>4</v>
      </c>
      <c r="C696" s="17" t="s">
        <v>1188</v>
      </c>
      <c r="D696" s="17" t="s">
        <v>42</v>
      </c>
      <c r="E696" s="18" t="s">
        <v>2612</v>
      </c>
      <c r="F696" s="17"/>
      <c r="G696" s="17"/>
      <c r="H696" s="17"/>
      <c r="I696" s="18" t="s">
        <v>1189</v>
      </c>
    </row>
    <row r="697" spans="2:9" hidden="1" x14ac:dyDescent="0.25">
      <c r="B697" s="17">
        <v>4</v>
      </c>
      <c r="C697" s="17" t="s">
        <v>1190</v>
      </c>
      <c r="D697" s="17" t="s">
        <v>42</v>
      </c>
      <c r="E697" s="18" t="s">
        <v>2613</v>
      </c>
      <c r="F697" s="17"/>
      <c r="G697" s="17"/>
      <c r="H697" s="17"/>
      <c r="I697" s="18" t="s">
        <v>1191</v>
      </c>
    </row>
    <row r="698" spans="2:9" hidden="1" x14ac:dyDescent="0.25">
      <c r="B698" s="17">
        <v>4</v>
      </c>
      <c r="C698" s="17" t="s">
        <v>1192</v>
      </c>
      <c r="D698" s="17" t="s">
        <v>40</v>
      </c>
      <c r="E698" s="18" t="s">
        <v>2614</v>
      </c>
      <c r="F698" s="17"/>
      <c r="G698" s="17"/>
      <c r="H698" s="17"/>
      <c r="I698" s="18" t="s">
        <v>1193</v>
      </c>
    </row>
    <row r="699" spans="2:9" hidden="1" x14ac:dyDescent="0.25">
      <c r="B699" s="17">
        <v>4</v>
      </c>
      <c r="C699" s="17" t="s">
        <v>537</v>
      </c>
      <c r="D699" s="17" t="s">
        <v>40</v>
      </c>
      <c r="E699" s="18" t="s">
        <v>2180</v>
      </c>
      <c r="F699" s="17"/>
      <c r="G699" s="17"/>
      <c r="H699" s="17"/>
      <c r="I699" s="18" t="s">
        <v>538</v>
      </c>
    </row>
    <row r="700" spans="2:9" hidden="1" x14ac:dyDescent="0.25">
      <c r="B700" s="17">
        <v>4</v>
      </c>
      <c r="C700" s="17" t="s">
        <v>1194</v>
      </c>
      <c r="D700" s="17" t="s">
        <v>30</v>
      </c>
      <c r="E700" s="18" t="s">
        <v>2615</v>
      </c>
      <c r="F700" s="17"/>
      <c r="G700" s="17"/>
      <c r="H700" s="17"/>
      <c r="I700" s="18" t="s">
        <v>1195</v>
      </c>
    </row>
    <row r="701" spans="2:9" hidden="1" x14ac:dyDescent="0.25">
      <c r="B701" s="17">
        <v>4</v>
      </c>
      <c r="C701" s="17" t="s">
        <v>1196</v>
      </c>
      <c r="D701" s="17" t="s">
        <v>30</v>
      </c>
      <c r="E701" s="18" t="s">
        <v>2616</v>
      </c>
      <c r="F701" s="17"/>
      <c r="G701" s="17"/>
      <c r="H701" s="17"/>
      <c r="I701" s="18" t="s">
        <v>1195</v>
      </c>
    </row>
    <row r="702" spans="2:9" hidden="1" x14ac:dyDescent="0.25">
      <c r="B702" s="17">
        <v>4</v>
      </c>
      <c r="C702" s="17" t="s">
        <v>1197</v>
      </c>
      <c r="D702" s="17" t="s">
        <v>30</v>
      </c>
      <c r="E702" s="18" t="s">
        <v>2617</v>
      </c>
      <c r="F702" s="17"/>
      <c r="G702" s="17"/>
      <c r="H702" s="17"/>
      <c r="I702" s="18" t="s">
        <v>1198</v>
      </c>
    </row>
    <row r="703" spans="2:9" hidden="1" x14ac:dyDescent="0.25">
      <c r="B703" s="17">
        <v>5</v>
      </c>
      <c r="C703" s="17" t="s">
        <v>1199</v>
      </c>
      <c r="D703" s="17" t="s">
        <v>30</v>
      </c>
      <c r="E703" s="18" t="s">
        <v>2618</v>
      </c>
      <c r="F703" s="17"/>
      <c r="G703" s="17"/>
      <c r="H703" s="17"/>
      <c r="I703" s="18" t="s">
        <v>1198</v>
      </c>
    </row>
    <row r="704" spans="2:9" hidden="1" x14ac:dyDescent="0.25">
      <c r="B704" s="17">
        <v>5</v>
      </c>
      <c r="C704" s="17" t="s">
        <v>359</v>
      </c>
      <c r="D704" s="17" t="s">
        <v>30</v>
      </c>
      <c r="E704" s="18" t="s">
        <v>2193</v>
      </c>
      <c r="F704" s="17"/>
      <c r="G704" s="17"/>
      <c r="H704" s="17"/>
      <c r="I704" s="18" t="s">
        <v>360</v>
      </c>
    </row>
    <row r="705" spans="2:9" hidden="1" x14ac:dyDescent="0.25">
      <c r="B705" s="17">
        <v>5</v>
      </c>
      <c r="C705" s="17" t="s">
        <v>610</v>
      </c>
      <c r="D705" s="17" t="s">
        <v>30</v>
      </c>
      <c r="E705" s="18" t="s">
        <v>2416</v>
      </c>
      <c r="F705" s="17"/>
      <c r="G705" s="17"/>
      <c r="H705" s="17"/>
      <c r="I705" s="18" t="s">
        <v>611</v>
      </c>
    </row>
    <row r="706" spans="2:9" hidden="1" x14ac:dyDescent="0.25">
      <c r="B706" s="17">
        <v>4</v>
      </c>
      <c r="C706" s="17" t="s">
        <v>1200</v>
      </c>
      <c r="D706" s="17" t="s">
        <v>30</v>
      </c>
      <c r="E706" s="18" t="s">
        <v>2619</v>
      </c>
      <c r="F706" s="17"/>
      <c r="G706" s="17"/>
      <c r="H706" s="17"/>
      <c r="I706" s="18" t="s">
        <v>1195</v>
      </c>
    </row>
    <row r="707" spans="2:9" hidden="1" x14ac:dyDescent="0.25">
      <c r="B707" s="17">
        <v>4</v>
      </c>
      <c r="C707" s="17" t="s">
        <v>1201</v>
      </c>
      <c r="D707" s="17" t="s">
        <v>30</v>
      </c>
      <c r="E707" s="18" t="s">
        <v>2620</v>
      </c>
      <c r="F707" s="17"/>
      <c r="G707" s="17"/>
      <c r="H707" s="17"/>
      <c r="I707" s="18" t="s">
        <v>1202</v>
      </c>
    </row>
    <row r="708" spans="2:9" hidden="1" x14ac:dyDescent="0.25">
      <c r="B708" s="17">
        <v>4</v>
      </c>
      <c r="C708" s="17" t="s">
        <v>1203</v>
      </c>
      <c r="D708" s="17" t="s">
        <v>30</v>
      </c>
      <c r="E708" s="18" t="s">
        <v>2621</v>
      </c>
      <c r="F708" s="17"/>
      <c r="G708" s="17"/>
      <c r="H708" s="17"/>
      <c r="I708" s="18" t="s">
        <v>542</v>
      </c>
    </row>
    <row r="709" spans="2:9" hidden="1" x14ac:dyDescent="0.25">
      <c r="B709" s="17">
        <v>4</v>
      </c>
      <c r="C709" s="17" t="s">
        <v>1204</v>
      </c>
      <c r="D709" s="17" t="s">
        <v>30</v>
      </c>
      <c r="E709" s="18" t="s">
        <v>2622</v>
      </c>
      <c r="F709" s="17"/>
      <c r="G709" s="17"/>
      <c r="H709" s="17"/>
      <c r="I709" s="18" t="s">
        <v>1205</v>
      </c>
    </row>
    <row r="710" spans="2:9" hidden="1" x14ac:dyDescent="0.25">
      <c r="B710" s="17">
        <v>4</v>
      </c>
      <c r="C710" s="17" t="s">
        <v>1206</v>
      </c>
      <c r="D710" s="17" t="s">
        <v>30</v>
      </c>
      <c r="E710" s="18" t="s">
        <v>2623</v>
      </c>
      <c r="F710" s="17"/>
      <c r="G710" s="17"/>
      <c r="H710" s="17"/>
      <c r="I710" s="18" t="s">
        <v>1195</v>
      </c>
    </row>
    <row r="711" spans="2:9" hidden="1" x14ac:dyDescent="0.25">
      <c r="B711" s="17">
        <v>4</v>
      </c>
      <c r="C711" s="17" t="s">
        <v>1207</v>
      </c>
      <c r="D711" s="17" t="s">
        <v>30</v>
      </c>
      <c r="E711" s="18" t="s">
        <v>2624</v>
      </c>
      <c r="F711" s="17"/>
      <c r="G711" s="17"/>
      <c r="H711" s="17"/>
      <c r="I711" s="18" t="s">
        <v>1195</v>
      </c>
    </row>
    <row r="712" spans="2:9" hidden="1" x14ac:dyDescent="0.25">
      <c r="B712" s="17">
        <v>4</v>
      </c>
      <c r="C712" s="17" t="s">
        <v>1208</v>
      </c>
      <c r="D712" s="17" t="s">
        <v>30</v>
      </c>
      <c r="E712" s="18" t="s">
        <v>2625</v>
      </c>
      <c r="F712" s="17"/>
      <c r="G712" s="17"/>
      <c r="H712" s="17"/>
      <c r="I712" s="18" t="s">
        <v>1195</v>
      </c>
    </row>
    <row r="713" spans="2:9" hidden="1" x14ac:dyDescent="0.25">
      <c r="B713" s="17">
        <v>4</v>
      </c>
      <c r="C713" s="17" t="s">
        <v>1209</v>
      </c>
      <c r="D713" s="17" t="s">
        <v>42</v>
      </c>
      <c r="E713" s="18" t="s">
        <v>2626</v>
      </c>
      <c r="F713" s="17"/>
      <c r="G713" s="17"/>
      <c r="H713" s="17"/>
      <c r="I713" s="18" t="s">
        <v>1195</v>
      </c>
    </row>
    <row r="714" spans="2:9" hidden="1" x14ac:dyDescent="0.25">
      <c r="B714" s="17">
        <v>4</v>
      </c>
      <c r="C714" s="17" t="s">
        <v>1210</v>
      </c>
      <c r="D714" s="17" t="s">
        <v>42</v>
      </c>
      <c r="E714" s="18" t="s">
        <v>2627</v>
      </c>
      <c r="F714" s="17"/>
      <c r="G714" s="17"/>
      <c r="H714" s="17"/>
      <c r="I714" s="18" t="s">
        <v>1195</v>
      </c>
    </row>
    <row r="715" spans="2:9" hidden="1" x14ac:dyDescent="0.25">
      <c r="B715" s="17">
        <v>4</v>
      </c>
      <c r="C715" s="17" t="s">
        <v>1211</v>
      </c>
      <c r="D715" s="17" t="s">
        <v>30</v>
      </c>
      <c r="E715" s="18" t="s">
        <v>2628</v>
      </c>
      <c r="F715" s="17"/>
      <c r="G715" s="17"/>
      <c r="H715" s="17"/>
      <c r="I715" s="18" t="s">
        <v>1195</v>
      </c>
    </row>
    <row r="716" spans="2:9" hidden="1" x14ac:dyDescent="0.25">
      <c r="B716" s="17">
        <v>4</v>
      </c>
      <c r="C716" s="17" t="s">
        <v>1212</v>
      </c>
      <c r="D716" s="17" t="s">
        <v>40</v>
      </c>
      <c r="E716" s="18" t="s">
        <v>2629</v>
      </c>
      <c r="F716" s="17"/>
      <c r="G716" s="17"/>
      <c r="H716" s="17"/>
      <c r="I716" s="18" t="s">
        <v>1189</v>
      </c>
    </row>
    <row r="717" spans="2:9" hidden="1" x14ac:dyDescent="0.25">
      <c r="B717" s="17">
        <v>4</v>
      </c>
      <c r="C717" s="17" t="s">
        <v>1213</v>
      </c>
      <c r="D717" s="17" t="s">
        <v>30</v>
      </c>
      <c r="E717" s="18" t="s">
        <v>2630</v>
      </c>
      <c r="F717" s="17"/>
      <c r="G717" s="17"/>
      <c r="H717" s="17"/>
      <c r="I717" s="18" t="s">
        <v>1187</v>
      </c>
    </row>
    <row r="718" spans="2:9" hidden="1" x14ac:dyDescent="0.25">
      <c r="B718" s="17">
        <v>4</v>
      </c>
      <c r="C718" s="17" t="s">
        <v>1214</v>
      </c>
      <c r="D718" s="17" t="s">
        <v>30</v>
      </c>
      <c r="E718" s="18" t="s">
        <v>2631</v>
      </c>
      <c r="F718" s="17"/>
      <c r="G718" s="17"/>
      <c r="H718" s="17"/>
      <c r="I718" s="18" t="s">
        <v>1215</v>
      </c>
    </row>
    <row r="719" spans="2:9" hidden="1" x14ac:dyDescent="0.25">
      <c r="B719" s="17">
        <v>4</v>
      </c>
      <c r="C719" s="17" t="s">
        <v>1216</v>
      </c>
      <c r="D719" s="17" t="s">
        <v>42</v>
      </c>
      <c r="E719" s="18" t="s">
        <v>2632</v>
      </c>
      <c r="F719" s="17"/>
      <c r="G719" s="17"/>
      <c r="H719" s="17"/>
      <c r="I719" s="18" t="s">
        <v>1189</v>
      </c>
    </row>
    <row r="720" spans="2:9" hidden="1" x14ac:dyDescent="0.25">
      <c r="B720" s="17">
        <v>4</v>
      </c>
      <c r="C720" s="17" t="s">
        <v>1217</v>
      </c>
      <c r="D720" s="17" t="s">
        <v>40</v>
      </c>
      <c r="E720" s="18" t="s">
        <v>2633</v>
      </c>
      <c r="F720" s="17"/>
      <c r="G720" s="17"/>
      <c r="H720" s="17"/>
      <c r="I720" s="18" t="s">
        <v>1189</v>
      </c>
    </row>
    <row r="721" spans="2:9" hidden="1" x14ac:dyDescent="0.25">
      <c r="B721" s="17">
        <v>4</v>
      </c>
      <c r="C721" s="17" t="s">
        <v>1218</v>
      </c>
      <c r="D721" s="17" t="s">
        <v>30</v>
      </c>
      <c r="E721" s="18" t="s">
        <v>2634</v>
      </c>
      <c r="F721" s="17"/>
      <c r="G721" s="17"/>
      <c r="H721" s="17"/>
      <c r="I721" s="18" t="s">
        <v>1187</v>
      </c>
    </row>
    <row r="722" spans="2:9" hidden="1" x14ac:dyDescent="0.25">
      <c r="B722" s="17">
        <v>4</v>
      </c>
      <c r="C722" s="17" t="s">
        <v>1219</v>
      </c>
      <c r="D722" s="17" t="s">
        <v>30</v>
      </c>
      <c r="E722" s="18" t="s">
        <v>2635</v>
      </c>
      <c r="F722" s="17"/>
      <c r="G722" s="17"/>
      <c r="H722" s="17"/>
      <c r="I722" s="18" t="s">
        <v>1187</v>
      </c>
    </row>
    <row r="723" spans="2:9" hidden="1" x14ac:dyDescent="0.25">
      <c r="B723" s="17">
        <v>4</v>
      </c>
      <c r="C723" s="17" t="s">
        <v>1220</v>
      </c>
      <c r="D723" s="17" t="s">
        <v>30</v>
      </c>
      <c r="E723" s="18" t="s">
        <v>2636</v>
      </c>
      <c r="F723" s="17"/>
      <c r="G723" s="17"/>
      <c r="H723" s="17"/>
      <c r="I723" s="18" t="s">
        <v>1221</v>
      </c>
    </row>
    <row r="724" spans="2:9" hidden="1" x14ac:dyDescent="0.25">
      <c r="B724" s="17">
        <v>5</v>
      </c>
      <c r="C724" s="17" t="s">
        <v>525</v>
      </c>
      <c r="D724" s="17" t="s">
        <v>49</v>
      </c>
      <c r="E724" s="18" t="s">
        <v>2583</v>
      </c>
      <c r="F724" s="17"/>
      <c r="G724" s="17"/>
      <c r="H724" s="17"/>
      <c r="I724" s="18" t="s">
        <v>121</v>
      </c>
    </row>
    <row r="725" spans="2:9" hidden="1" x14ac:dyDescent="0.25">
      <c r="B725" s="17">
        <v>5</v>
      </c>
      <c r="C725" s="17" t="s">
        <v>122</v>
      </c>
      <c r="D725" s="17" t="s">
        <v>49</v>
      </c>
      <c r="E725" s="18" t="s">
        <v>168</v>
      </c>
      <c r="F725" s="17"/>
      <c r="G725" s="17"/>
      <c r="H725" s="17"/>
      <c r="I725" s="18" t="s">
        <v>123</v>
      </c>
    </row>
    <row r="726" spans="2:9" hidden="1" x14ac:dyDescent="0.25">
      <c r="B726" s="17">
        <v>5</v>
      </c>
      <c r="C726" s="17" t="s">
        <v>1222</v>
      </c>
      <c r="D726" s="17" t="s">
        <v>30</v>
      </c>
      <c r="E726" s="18" t="s">
        <v>2637</v>
      </c>
      <c r="F726" s="17"/>
      <c r="G726" s="17"/>
      <c r="H726" s="17"/>
      <c r="I726" s="18" t="s">
        <v>1223</v>
      </c>
    </row>
    <row r="727" spans="2:9" hidden="1" x14ac:dyDescent="0.25">
      <c r="B727" s="17">
        <v>4</v>
      </c>
      <c r="C727" s="17" t="s">
        <v>1224</v>
      </c>
      <c r="D727" s="17" t="s">
        <v>30</v>
      </c>
      <c r="E727" s="18" t="s">
        <v>2638</v>
      </c>
      <c r="F727" s="17"/>
      <c r="G727" s="17"/>
      <c r="H727" s="17"/>
      <c r="I727" s="18" t="s">
        <v>573</v>
      </c>
    </row>
    <row r="728" spans="2:9" hidden="1" x14ac:dyDescent="0.25">
      <c r="B728" s="17">
        <v>5</v>
      </c>
      <c r="C728" s="17" t="s">
        <v>1225</v>
      </c>
      <c r="D728" s="17" t="s">
        <v>40</v>
      </c>
      <c r="E728" s="18" t="s">
        <v>2639</v>
      </c>
      <c r="F728" s="17"/>
      <c r="G728" s="17"/>
      <c r="H728" s="17"/>
      <c r="I728" s="18" t="s">
        <v>573</v>
      </c>
    </row>
    <row r="729" spans="2:9" hidden="1" x14ac:dyDescent="0.25">
      <c r="B729" s="17">
        <v>5</v>
      </c>
      <c r="C729" s="17" t="s">
        <v>118</v>
      </c>
      <c r="D729" s="17" t="s">
        <v>30</v>
      </c>
      <c r="E729" s="18" t="s">
        <v>2137</v>
      </c>
      <c r="F729" s="17"/>
      <c r="G729" s="17"/>
      <c r="H729" s="17"/>
      <c r="I729" s="18" t="s">
        <v>119</v>
      </c>
    </row>
    <row r="730" spans="2:9" hidden="1" x14ac:dyDescent="0.25">
      <c r="B730" s="17">
        <v>4</v>
      </c>
      <c r="C730" s="17" t="s">
        <v>1226</v>
      </c>
      <c r="D730" s="17" t="s">
        <v>30</v>
      </c>
      <c r="E730" s="18" t="s">
        <v>2640</v>
      </c>
      <c r="F730" s="17"/>
      <c r="G730" s="17"/>
      <c r="H730" s="17"/>
      <c r="I730" s="18" t="s">
        <v>1227</v>
      </c>
    </row>
    <row r="731" spans="2:9" hidden="1" x14ac:dyDescent="0.25">
      <c r="B731" s="17">
        <v>4</v>
      </c>
      <c r="C731" s="17" t="s">
        <v>1228</v>
      </c>
      <c r="D731" s="17" t="s">
        <v>30</v>
      </c>
      <c r="E731" s="18" t="s">
        <v>2641</v>
      </c>
      <c r="F731" s="17"/>
      <c r="G731" s="17"/>
      <c r="H731" s="17"/>
      <c r="I731" s="18" t="s">
        <v>1229</v>
      </c>
    </row>
    <row r="732" spans="2:9" hidden="1" x14ac:dyDescent="0.25">
      <c r="B732" s="17">
        <v>4</v>
      </c>
      <c r="C732" s="17" t="s">
        <v>1230</v>
      </c>
      <c r="D732" s="17" t="s">
        <v>40</v>
      </c>
      <c r="E732" s="18" t="s">
        <v>2642</v>
      </c>
      <c r="F732" s="17"/>
      <c r="G732" s="17"/>
      <c r="H732" s="17"/>
      <c r="I732" s="18" t="s">
        <v>1231</v>
      </c>
    </row>
    <row r="733" spans="2:9" hidden="1" x14ac:dyDescent="0.25">
      <c r="B733" s="17">
        <v>4</v>
      </c>
      <c r="C733" s="17" t="s">
        <v>1232</v>
      </c>
      <c r="D733" s="17" t="s">
        <v>30</v>
      </c>
      <c r="E733" s="18" t="s">
        <v>2643</v>
      </c>
      <c r="F733" s="17"/>
      <c r="G733" s="17"/>
      <c r="H733" s="17"/>
      <c r="I733" s="18" t="s">
        <v>120</v>
      </c>
    </row>
    <row r="734" spans="2:9" hidden="1" x14ac:dyDescent="0.25">
      <c r="B734" s="17">
        <v>4</v>
      </c>
      <c r="C734" s="17" t="s">
        <v>1233</v>
      </c>
      <c r="D734" s="17" t="s">
        <v>30</v>
      </c>
      <c r="E734" s="18" t="s">
        <v>2644</v>
      </c>
      <c r="F734" s="17"/>
      <c r="G734" s="17"/>
      <c r="H734" s="17"/>
      <c r="I734" s="18" t="s">
        <v>120</v>
      </c>
    </row>
    <row r="735" spans="2:9" hidden="1" x14ac:dyDescent="0.25">
      <c r="B735" s="17">
        <v>4</v>
      </c>
      <c r="C735" s="17" t="s">
        <v>638</v>
      </c>
      <c r="D735" s="17" t="s">
        <v>30</v>
      </c>
      <c r="E735" s="18" t="s">
        <v>2241</v>
      </c>
      <c r="F735" s="17"/>
      <c r="G735" s="17"/>
      <c r="H735" s="17"/>
      <c r="I735" s="18" t="s">
        <v>639</v>
      </c>
    </row>
    <row r="736" spans="2:9" hidden="1" x14ac:dyDescent="0.25">
      <c r="B736" s="17">
        <v>4</v>
      </c>
      <c r="C736" s="17" t="s">
        <v>1234</v>
      </c>
      <c r="D736" s="17" t="s">
        <v>30</v>
      </c>
      <c r="E736" s="18" t="s">
        <v>2645</v>
      </c>
      <c r="F736" s="17"/>
      <c r="G736" s="17"/>
      <c r="H736" s="17"/>
      <c r="I736" s="18" t="s">
        <v>433</v>
      </c>
    </row>
    <row r="737" spans="2:9" hidden="1" x14ac:dyDescent="0.25">
      <c r="B737" s="17">
        <v>4</v>
      </c>
      <c r="C737" s="17" t="s">
        <v>1235</v>
      </c>
      <c r="D737" s="17" t="s">
        <v>30</v>
      </c>
      <c r="E737" s="18" t="s">
        <v>2646</v>
      </c>
      <c r="F737" s="17"/>
      <c r="G737" s="17"/>
      <c r="H737" s="17"/>
      <c r="I737" s="18" t="s">
        <v>433</v>
      </c>
    </row>
    <row r="738" spans="2:9" hidden="1" x14ac:dyDescent="0.25">
      <c r="B738" s="17">
        <v>4</v>
      </c>
      <c r="C738" s="17" t="s">
        <v>426</v>
      </c>
      <c r="D738" s="17" t="s">
        <v>40</v>
      </c>
      <c r="E738" s="18" t="s">
        <v>2105</v>
      </c>
      <c r="F738" s="17"/>
      <c r="G738" s="17"/>
      <c r="H738" s="17"/>
      <c r="I738" s="18" t="s">
        <v>427</v>
      </c>
    </row>
    <row r="739" spans="2:9" hidden="1" x14ac:dyDescent="0.25">
      <c r="B739" s="17">
        <v>4</v>
      </c>
      <c r="C739" s="17" t="s">
        <v>820</v>
      </c>
      <c r="D739" s="17" t="s">
        <v>30</v>
      </c>
      <c r="E739" s="18" t="s">
        <v>2377</v>
      </c>
      <c r="F739" s="17"/>
      <c r="G739" s="17"/>
      <c r="H739" s="17"/>
      <c r="I739" s="18" t="s">
        <v>56</v>
      </c>
    </row>
    <row r="740" spans="2:9" hidden="1" x14ac:dyDescent="0.25">
      <c r="B740" s="17">
        <v>4</v>
      </c>
      <c r="C740" s="17" t="s">
        <v>55</v>
      </c>
      <c r="D740" s="17" t="s">
        <v>40</v>
      </c>
      <c r="E740" s="18" t="s">
        <v>2109</v>
      </c>
      <c r="F740" s="17"/>
      <c r="G740" s="17"/>
      <c r="H740" s="17"/>
      <c r="I740" s="18" t="s">
        <v>56</v>
      </c>
    </row>
    <row r="741" spans="2:9" hidden="1" x14ac:dyDescent="0.25">
      <c r="B741" s="17">
        <v>4</v>
      </c>
      <c r="C741" s="17" t="s">
        <v>1236</v>
      </c>
      <c r="D741" s="17" t="s">
        <v>40</v>
      </c>
      <c r="E741" s="18" t="s">
        <v>2647</v>
      </c>
      <c r="F741" s="17"/>
      <c r="G741" s="17"/>
      <c r="H741" s="17"/>
      <c r="I741" s="18" t="s">
        <v>431</v>
      </c>
    </row>
    <row r="742" spans="2:9" hidden="1" x14ac:dyDescent="0.25">
      <c r="B742" s="17">
        <v>4</v>
      </c>
      <c r="C742" s="17" t="s">
        <v>640</v>
      </c>
      <c r="D742" s="17" t="s">
        <v>40</v>
      </c>
      <c r="E742" s="18" t="s">
        <v>2242</v>
      </c>
      <c r="F742" s="17"/>
      <c r="G742" s="17"/>
      <c r="H742" s="17"/>
      <c r="I742" s="18" t="s">
        <v>431</v>
      </c>
    </row>
    <row r="743" spans="2:9" hidden="1" x14ac:dyDescent="0.25">
      <c r="B743" s="17">
        <v>4</v>
      </c>
      <c r="C743" s="17" t="s">
        <v>1237</v>
      </c>
      <c r="D743" s="17" t="s">
        <v>30</v>
      </c>
      <c r="E743" s="18" t="s">
        <v>2648</v>
      </c>
      <c r="F743" s="17"/>
      <c r="G743" s="17"/>
      <c r="H743" s="17"/>
      <c r="I743" s="18" t="s">
        <v>57</v>
      </c>
    </row>
    <row r="744" spans="2:9" hidden="1" x14ac:dyDescent="0.25">
      <c r="B744" s="17">
        <v>4</v>
      </c>
      <c r="C744" s="17" t="s">
        <v>1238</v>
      </c>
      <c r="D744" s="17" t="s">
        <v>30</v>
      </c>
      <c r="E744" s="18" t="s">
        <v>2649</v>
      </c>
      <c r="F744" s="17"/>
      <c r="G744" s="17"/>
      <c r="H744" s="17"/>
      <c r="I744" s="18" t="s">
        <v>1239</v>
      </c>
    </row>
    <row r="745" spans="2:9" hidden="1" x14ac:dyDescent="0.25">
      <c r="B745" s="17">
        <v>4</v>
      </c>
      <c r="C745" s="17" t="s">
        <v>161</v>
      </c>
      <c r="D745" s="17" t="s">
        <v>42</v>
      </c>
      <c r="E745" s="18" t="s">
        <v>2650</v>
      </c>
      <c r="F745" s="17"/>
      <c r="G745" s="17"/>
      <c r="H745" s="17"/>
      <c r="I745" s="18" t="s">
        <v>644</v>
      </c>
    </row>
    <row r="746" spans="2:9" hidden="1" x14ac:dyDescent="0.25">
      <c r="B746" s="17">
        <v>4</v>
      </c>
      <c r="C746" s="17" t="s">
        <v>1240</v>
      </c>
      <c r="D746" s="17" t="s">
        <v>40</v>
      </c>
      <c r="E746" s="18" t="s">
        <v>2651</v>
      </c>
      <c r="F746" s="17"/>
      <c r="G746" s="17"/>
      <c r="H746" s="17"/>
      <c r="I746" s="18" t="s">
        <v>644</v>
      </c>
    </row>
    <row r="747" spans="2:9" hidden="1" x14ac:dyDescent="0.25">
      <c r="B747" s="17">
        <v>4</v>
      </c>
      <c r="C747" s="17" t="s">
        <v>162</v>
      </c>
      <c r="D747" s="17" t="s">
        <v>40</v>
      </c>
      <c r="E747" s="18" t="s">
        <v>2652</v>
      </c>
      <c r="F747" s="17"/>
      <c r="G747" s="17"/>
      <c r="H747" s="17"/>
      <c r="I747" s="18" t="s">
        <v>644</v>
      </c>
    </row>
    <row r="748" spans="2:9" hidden="1" x14ac:dyDescent="0.25">
      <c r="B748" s="17">
        <v>3</v>
      </c>
      <c r="C748" s="17" t="s">
        <v>1241</v>
      </c>
      <c r="D748" s="17" t="s">
        <v>30</v>
      </c>
      <c r="E748" s="18" t="s">
        <v>2653</v>
      </c>
      <c r="F748" s="17"/>
      <c r="G748" s="17"/>
      <c r="H748" s="17"/>
      <c r="I748" s="18" t="s">
        <v>646</v>
      </c>
    </row>
    <row r="749" spans="2:9" hidden="1" x14ac:dyDescent="0.25">
      <c r="B749" s="17">
        <v>4</v>
      </c>
      <c r="C749" s="17" t="s">
        <v>1242</v>
      </c>
      <c r="D749" s="17" t="s">
        <v>40</v>
      </c>
      <c r="E749" s="18" t="s">
        <v>2654</v>
      </c>
      <c r="F749" s="17"/>
      <c r="G749" s="17"/>
      <c r="H749" s="17"/>
      <c r="I749" s="18" t="s">
        <v>1243</v>
      </c>
    </row>
    <row r="750" spans="2:9" hidden="1" x14ac:dyDescent="0.25">
      <c r="B750" s="17">
        <v>4</v>
      </c>
      <c r="C750" s="17" t="s">
        <v>654</v>
      </c>
      <c r="D750" s="17" t="s">
        <v>40</v>
      </c>
      <c r="E750" s="18" t="s">
        <v>2250</v>
      </c>
      <c r="F750" s="17"/>
      <c r="G750" s="17"/>
      <c r="H750" s="17"/>
      <c r="I750" s="18" t="s">
        <v>655</v>
      </c>
    </row>
    <row r="751" spans="2:9" hidden="1" x14ac:dyDescent="0.25">
      <c r="B751" s="17">
        <v>4</v>
      </c>
      <c r="C751" s="17" t="s">
        <v>656</v>
      </c>
      <c r="D751" s="17" t="s">
        <v>30</v>
      </c>
      <c r="E751" s="18" t="s">
        <v>2252</v>
      </c>
      <c r="F751" s="17"/>
      <c r="G751" s="17"/>
      <c r="H751" s="17"/>
      <c r="I751" s="18" t="s">
        <v>73</v>
      </c>
    </row>
    <row r="752" spans="2:9" hidden="1" x14ac:dyDescent="0.25">
      <c r="B752" s="17">
        <v>4</v>
      </c>
      <c r="C752" s="17" t="s">
        <v>72</v>
      </c>
      <c r="D752" s="17" t="s">
        <v>30</v>
      </c>
      <c r="E752" s="18" t="s">
        <v>2253</v>
      </c>
      <c r="F752" s="17"/>
      <c r="G752" s="17"/>
      <c r="H752" s="17"/>
      <c r="I752" s="18" t="s">
        <v>73</v>
      </c>
    </row>
    <row r="753" spans="2:9" hidden="1" x14ac:dyDescent="0.25">
      <c r="B753" s="17">
        <v>4</v>
      </c>
      <c r="C753" s="17" t="s">
        <v>661</v>
      </c>
      <c r="D753" s="17" t="s">
        <v>30</v>
      </c>
      <c r="E753" s="18" t="s">
        <v>2256</v>
      </c>
      <c r="F753" s="17"/>
      <c r="G753" s="17"/>
      <c r="H753" s="17"/>
      <c r="I753" s="18" t="s">
        <v>73</v>
      </c>
    </row>
    <row r="754" spans="2:9" hidden="1" x14ac:dyDescent="0.25">
      <c r="B754" s="17">
        <v>4</v>
      </c>
      <c r="C754" s="17" t="s">
        <v>1244</v>
      </c>
      <c r="D754" s="17" t="s">
        <v>30</v>
      </c>
      <c r="E754" s="18" t="s">
        <v>2655</v>
      </c>
      <c r="F754" s="17"/>
      <c r="G754" s="17"/>
      <c r="H754" s="17"/>
      <c r="I754" s="18" t="s">
        <v>655</v>
      </c>
    </row>
    <row r="755" spans="2:9" hidden="1" x14ac:dyDescent="0.25">
      <c r="B755" s="17">
        <v>4</v>
      </c>
      <c r="C755" s="17" t="s">
        <v>1245</v>
      </c>
      <c r="D755" s="17" t="s">
        <v>30</v>
      </c>
      <c r="E755" s="18" t="s">
        <v>2656</v>
      </c>
      <c r="F755" s="17"/>
      <c r="G755" s="17"/>
      <c r="H755" s="17"/>
      <c r="I755" s="18" t="s">
        <v>73</v>
      </c>
    </row>
    <row r="756" spans="2:9" hidden="1" x14ac:dyDescent="0.25">
      <c r="B756" s="17">
        <v>5</v>
      </c>
      <c r="C756" s="17" t="s">
        <v>657</v>
      </c>
      <c r="D756" s="17" t="s">
        <v>30</v>
      </c>
      <c r="E756" s="18" t="s">
        <v>2254</v>
      </c>
      <c r="F756" s="17"/>
      <c r="G756" s="17"/>
      <c r="H756" s="17"/>
      <c r="I756" s="18" t="s">
        <v>658</v>
      </c>
    </row>
    <row r="757" spans="2:9" hidden="1" x14ac:dyDescent="0.25">
      <c r="B757" s="17">
        <v>5</v>
      </c>
      <c r="C757" s="17" t="s">
        <v>1246</v>
      </c>
      <c r="D757" s="17" t="s">
        <v>30</v>
      </c>
      <c r="E757" s="18" t="s">
        <v>2657</v>
      </c>
      <c r="F757" s="17"/>
      <c r="G757" s="17"/>
      <c r="H757" s="17"/>
      <c r="I757" s="18" t="s">
        <v>1247</v>
      </c>
    </row>
    <row r="758" spans="2:9" hidden="1" x14ac:dyDescent="0.25">
      <c r="B758" s="17">
        <v>4</v>
      </c>
      <c r="C758" s="17" t="s">
        <v>1248</v>
      </c>
      <c r="D758" s="17" t="s">
        <v>30</v>
      </c>
      <c r="E758" s="18" t="s">
        <v>2658</v>
      </c>
      <c r="F758" s="17"/>
      <c r="G758" s="17"/>
      <c r="H758" s="17"/>
      <c r="I758" s="18" t="s">
        <v>1249</v>
      </c>
    </row>
    <row r="759" spans="2:9" hidden="1" x14ac:dyDescent="0.25">
      <c r="B759" s="17">
        <v>4</v>
      </c>
      <c r="C759" s="17" t="s">
        <v>1250</v>
      </c>
      <c r="D759" s="17" t="s">
        <v>30</v>
      </c>
      <c r="E759" s="18" t="s">
        <v>2659</v>
      </c>
      <c r="F759" s="17"/>
      <c r="G759" s="17"/>
      <c r="H759" s="17"/>
      <c r="I759" s="18" t="s">
        <v>1251</v>
      </c>
    </row>
    <row r="760" spans="2:9" hidden="1" x14ac:dyDescent="0.25">
      <c r="B760" s="17">
        <v>4</v>
      </c>
      <c r="C760" s="17" t="s">
        <v>1252</v>
      </c>
      <c r="D760" s="17" t="s">
        <v>30</v>
      </c>
      <c r="E760" s="18" t="s">
        <v>2660</v>
      </c>
      <c r="F760" s="17"/>
      <c r="G760" s="17"/>
      <c r="H760" s="17"/>
      <c r="I760" s="18" t="s">
        <v>53</v>
      </c>
    </row>
    <row r="761" spans="2:9" hidden="1" x14ac:dyDescent="0.25">
      <c r="B761" s="17">
        <v>4</v>
      </c>
      <c r="C761" s="17" t="s">
        <v>1253</v>
      </c>
      <c r="D761" s="17" t="s">
        <v>30</v>
      </c>
      <c r="E761" s="18" t="s">
        <v>2661</v>
      </c>
      <c r="F761" s="17"/>
      <c r="G761" s="17"/>
      <c r="H761" s="17"/>
      <c r="I761" s="18" t="s">
        <v>53</v>
      </c>
    </row>
    <row r="762" spans="2:9" hidden="1" x14ac:dyDescent="0.25">
      <c r="B762" s="17">
        <v>4</v>
      </c>
      <c r="C762" s="17" t="s">
        <v>1254</v>
      </c>
      <c r="D762" s="17" t="s">
        <v>30</v>
      </c>
      <c r="E762" s="18" t="s">
        <v>2662</v>
      </c>
      <c r="F762" s="17"/>
      <c r="G762" s="17"/>
      <c r="H762" s="17"/>
      <c r="I762" s="18" t="s">
        <v>53</v>
      </c>
    </row>
    <row r="763" spans="2:9" hidden="1" x14ac:dyDescent="0.25">
      <c r="B763" s="17">
        <v>4</v>
      </c>
      <c r="C763" s="17" t="s">
        <v>1255</v>
      </c>
      <c r="D763" s="17" t="s">
        <v>30</v>
      </c>
      <c r="E763" s="18" t="s">
        <v>2663</v>
      </c>
      <c r="F763" s="17"/>
      <c r="G763" s="17"/>
      <c r="H763" s="17"/>
      <c r="I763" s="18" t="s">
        <v>53</v>
      </c>
    </row>
    <row r="764" spans="2:9" hidden="1" x14ac:dyDescent="0.25">
      <c r="B764" s="17">
        <v>4</v>
      </c>
      <c r="C764" s="17" t="s">
        <v>1256</v>
      </c>
      <c r="D764" s="17" t="s">
        <v>42</v>
      </c>
      <c r="E764" s="18" t="s">
        <v>2664</v>
      </c>
      <c r="F764" s="17"/>
      <c r="G764" s="17"/>
      <c r="H764" s="17"/>
      <c r="I764" s="18" t="s">
        <v>53</v>
      </c>
    </row>
    <row r="765" spans="2:9" hidden="1" x14ac:dyDescent="0.25">
      <c r="B765" s="17">
        <v>4</v>
      </c>
      <c r="C765" s="17" t="s">
        <v>1257</v>
      </c>
      <c r="D765" s="17" t="s">
        <v>42</v>
      </c>
      <c r="E765" s="18" t="s">
        <v>2665</v>
      </c>
      <c r="F765" s="17"/>
      <c r="G765" s="17"/>
      <c r="H765" s="17"/>
      <c r="I765" s="18" t="s">
        <v>53</v>
      </c>
    </row>
    <row r="766" spans="2:9" hidden="1" x14ac:dyDescent="0.25">
      <c r="B766" s="17">
        <v>4</v>
      </c>
      <c r="C766" s="17" t="s">
        <v>1258</v>
      </c>
      <c r="D766" s="17" t="s">
        <v>42</v>
      </c>
      <c r="E766" s="18" t="s">
        <v>2666</v>
      </c>
      <c r="F766" s="17"/>
      <c r="G766" s="17"/>
      <c r="H766" s="17"/>
      <c r="I766" s="18" t="s">
        <v>53</v>
      </c>
    </row>
    <row r="767" spans="2:9" hidden="1" x14ac:dyDescent="0.25">
      <c r="B767" s="17">
        <v>4</v>
      </c>
      <c r="C767" s="17" t="s">
        <v>1259</v>
      </c>
      <c r="D767" s="17" t="s">
        <v>30</v>
      </c>
      <c r="E767" s="18" t="s">
        <v>2667</v>
      </c>
      <c r="F767" s="17"/>
      <c r="G767" s="17"/>
      <c r="H767" s="17"/>
      <c r="I767" s="18" t="s">
        <v>53</v>
      </c>
    </row>
    <row r="768" spans="2:9" hidden="1" x14ac:dyDescent="0.25">
      <c r="B768" s="17">
        <v>4</v>
      </c>
      <c r="C768" s="17" t="s">
        <v>1260</v>
      </c>
      <c r="D768" s="17" t="s">
        <v>30</v>
      </c>
      <c r="E768" s="18" t="s">
        <v>2668</v>
      </c>
      <c r="F768" s="17"/>
      <c r="G768" s="17"/>
      <c r="H768" s="17"/>
      <c r="I768" s="18" t="s">
        <v>53</v>
      </c>
    </row>
    <row r="769" spans="2:9" hidden="1" x14ac:dyDescent="0.25">
      <c r="B769" s="17">
        <v>4</v>
      </c>
      <c r="C769" s="17" t="s">
        <v>1261</v>
      </c>
      <c r="D769" s="17" t="s">
        <v>30</v>
      </c>
      <c r="E769" s="18" t="s">
        <v>2669</v>
      </c>
      <c r="F769" s="17"/>
      <c r="G769" s="17"/>
      <c r="H769" s="17"/>
      <c r="I769" s="18" t="s">
        <v>53</v>
      </c>
    </row>
    <row r="770" spans="2:9" hidden="1" x14ac:dyDescent="0.25">
      <c r="B770" s="17">
        <v>4</v>
      </c>
      <c r="C770" s="17" t="s">
        <v>1262</v>
      </c>
      <c r="D770" s="17" t="s">
        <v>30</v>
      </c>
      <c r="E770" s="18" t="s">
        <v>2670</v>
      </c>
      <c r="F770" s="17"/>
      <c r="G770" s="17"/>
      <c r="H770" s="17"/>
      <c r="I770" s="18" t="s">
        <v>53</v>
      </c>
    </row>
    <row r="771" spans="2:9" hidden="1" x14ac:dyDescent="0.25">
      <c r="B771" s="17">
        <v>4</v>
      </c>
      <c r="C771" s="17" t="s">
        <v>1263</v>
      </c>
      <c r="D771" s="17" t="s">
        <v>30</v>
      </c>
      <c r="E771" s="18" t="s">
        <v>2671</v>
      </c>
      <c r="F771" s="17"/>
      <c r="G771" s="17"/>
      <c r="H771" s="17"/>
      <c r="I771" s="18" t="s">
        <v>53</v>
      </c>
    </row>
    <row r="772" spans="2:9" hidden="1" x14ac:dyDescent="0.25">
      <c r="B772" s="17">
        <v>4</v>
      </c>
      <c r="C772" s="17" t="s">
        <v>1264</v>
      </c>
      <c r="D772" s="17" t="s">
        <v>42</v>
      </c>
      <c r="E772" s="18" t="s">
        <v>2672</v>
      </c>
      <c r="F772" s="17"/>
      <c r="G772" s="17"/>
      <c r="H772" s="17"/>
      <c r="I772" s="18" t="s">
        <v>53</v>
      </c>
    </row>
    <row r="773" spans="2:9" hidden="1" x14ac:dyDescent="0.25">
      <c r="B773" s="17">
        <v>4</v>
      </c>
      <c r="C773" s="17" t="s">
        <v>1265</v>
      </c>
      <c r="D773" s="17" t="s">
        <v>42</v>
      </c>
      <c r="E773" s="18" t="s">
        <v>2673</v>
      </c>
      <c r="F773" s="17"/>
      <c r="G773" s="17"/>
      <c r="H773" s="17"/>
      <c r="I773" s="18" t="s">
        <v>52</v>
      </c>
    </row>
    <row r="774" spans="2:9" hidden="1" x14ac:dyDescent="0.25">
      <c r="B774" s="17">
        <v>4</v>
      </c>
      <c r="C774" s="17" t="s">
        <v>683</v>
      </c>
      <c r="D774" s="17" t="s">
        <v>30</v>
      </c>
      <c r="E774" s="18" t="s">
        <v>2277</v>
      </c>
      <c r="F774" s="17"/>
      <c r="G774" s="17"/>
      <c r="H774" s="17"/>
      <c r="I774" s="18" t="s">
        <v>682</v>
      </c>
    </row>
    <row r="775" spans="2:9" hidden="1" x14ac:dyDescent="0.25">
      <c r="B775" s="17">
        <v>4</v>
      </c>
      <c r="C775" s="17" t="s">
        <v>683</v>
      </c>
      <c r="D775" s="17" t="s">
        <v>30</v>
      </c>
      <c r="E775" s="18" t="s">
        <v>2277</v>
      </c>
      <c r="F775" s="17"/>
      <c r="G775" s="17"/>
      <c r="H775" s="17"/>
      <c r="I775" s="18" t="s">
        <v>682</v>
      </c>
    </row>
    <row r="776" spans="2:9" hidden="1" x14ac:dyDescent="0.25">
      <c r="B776" s="17">
        <v>4</v>
      </c>
      <c r="C776" s="17" t="s">
        <v>1266</v>
      </c>
      <c r="D776" s="17" t="s">
        <v>30</v>
      </c>
      <c r="E776" s="18" t="s">
        <v>2674</v>
      </c>
      <c r="F776" s="17"/>
      <c r="G776" s="17"/>
      <c r="H776" s="17"/>
      <c r="I776" s="18" t="s">
        <v>1267</v>
      </c>
    </row>
    <row r="777" spans="2:9" hidden="1" x14ac:dyDescent="0.25">
      <c r="B777" s="17">
        <v>4</v>
      </c>
      <c r="C777" s="17" t="s">
        <v>1268</v>
      </c>
      <c r="D777" s="17" t="s">
        <v>30</v>
      </c>
      <c r="E777" s="18" t="s">
        <v>2675</v>
      </c>
      <c r="F777" s="17"/>
      <c r="G777" s="17"/>
      <c r="H777" s="17"/>
      <c r="I777" s="18" t="s">
        <v>1267</v>
      </c>
    </row>
    <row r="778" spans="2:9" hidden="1" x14ac:dyDescent="0.25">
      <c r="B778" s="17">
        <v>4</v>
      </c>
      <c r="C778" s="17" t="s">
        <v>1269</v>
      </c>
      <c r="D778" s="17" t="s">
        <v>40</v>
      </c>
      <c r="E778" s="18" t="s">
        <v>2676</v>
      </c>
      <c r="F778" s="17"/>
      <c r="G778" s="17"/>
      <c r="H778" s="17"/>
      <c r="I778" s="18" t="s">
        <v>1270</v>
      </c>
    </row>
    <row r="779" spans="2:9" hidden="1" x14ac:dyDescent="0.25">
      <c r="B779" s="17">
        <v>5</v>
      </c>
      <c r="C779" s="17" t="s">
        <v>1271</v>
      </c>
      <c r="D779" s="17" t="s">
        <v>40</v>
      </c>
      <c r="E779" s="18" t="s">
        <v>2677</v>
      </c>
      <c r="F779" s="17"/>
      <c r="G779" s="17"/>
      <c r="H779" s="17"/>
      <c r="I779" s="18" t="s">
        <v>1272</v>
      </c>
    </row>
    <row r="780" spans="2:9" hidden="1" x14ac:dyDescent="0.25">
      <c r="B780" s="17">
        <v>5</v>
      </c>
      <c r="C780" s="17" t="s">
        <v>1273</v>
      </c>
      <c r="D780" s="17" t="s">
        <v>30</v>
      </c>
      <c r="E780" s="18" t="s">
        <v>2678</v>
      </c>
      <c r="F780" s="17"/>
      <c r="G780" s="17"/>
      <c r="H780" s="17"/>
      <c r="I780" s="18" t="s">
        <v>1274</v>
      </c>
    </row>
    <row r="781" spans="2:9" hidden="1" x14ac:dyDescent="0.25">
      <c r="B781" s="17">
        <v>5</v>
      </c>
      <c r="C781" s="17" t="s">
        <v>1275</v>
      </c>
      <c r="D781" s="17" t="s">
        <v>42</v>
      </c>
      <c r="E781" s="18" t="s">
        <v>2679</v>
      </c>
      <c r="F781" s="17"/>
      <c r="G781" s="17"/>
      <c r="H781" s="17"/>
      <c r="I781" s="18" t="s">
        <v>1276</v>
      </c>
    </row>
    <row r="782" spans="2:9" hidden="1" x14ac:dyDescent="0.25">
      <c r="B782" s="17">
        <v>5</v>
      </c>
      <c r="C782" s="17" t="s">
        <v>1277</v>
      </c>
      <c r="D782" s="17" t="s">
        <v>40</v>
      </c>
      <c r="E782" s="18" t="s">
        <v>2680</v>
      </c>
      <c r="F782" s="17"/>
      <c r="G782" s="17"/>
      <c r="H782" s="17"/>
      <c r="I782" s="18" t="s">
        <v>1278</v>
      </c>
    </row>
    <row r="783" spans="2:9" hidden="1" x14ac:dyDescent="0.25">
      <c r="B783" s="17">
        <v>5</v>
      </c>
      <c r="C783" s="17" t="s">
        <v>1279</v>
      </c>
      <c r="D783" s="17" t="s">
        <v>30</v>
      </c>
      <c r="E783" s="18" t="s">
        <v>2681</v>
      </c>
      <c r="F783" s="17"/>
      <c r="G783" s="17"/>
      <c r="H783" s="17"/>
      <c r="I783" s="18" t="s">
        <v>1280</v>
      </c>
    </row>
    <row r="784" spans="2:9" hidden="1" x14ac:dyDescent="0.25">
      <c r="B784" s="17">
        <v>6</v>
      </c>
      <c r="C784" s="17" t="s">
        <v>1281</v>
      </c>
      <c r="D784" s="17" t="s">
        <v>30</v>
      </c>
      <c r="E784" s="18" t="s">
        <v>2682</v>
      </c>
      <c r="F784" s="17"/>
      <c r="G784" s="17"/>
      <c r="H784" s="17"/>
      <c r="I784" s="18" t="s">
        <v>1282</v>
      </c>
    </row>
    <row r="785" spans="2:9" hidden="1" x14ac:dyDescent="0.25">
      <c r="B785" s="17">
        <v>6</v>
      </c>
      <c r="C785" s="17" t="s">
        <v>1283</v>
      </c>
      <c r="D785" s="17" t="s">
        <v>30</v>
      </c>
      <c r="E785" s="18" t="s">
        <v>2683</v>
      </c>
      <c r="F785" s="17"/>
      <c r="G785" s="17"/>
      <c r="H785" s="17"/>
      <c r="I785" s="18" t="s">
        <v>88</v>
      </c>
    </row>
    <row r="786" spans="2:9" hidden="1" x14ac:dyDescent="0.25">
      <c r="B786" s="17">
        <v>6</v>
      </c>
      <c r="C786" s="17" t="s">
        <v>1284</v>
      </c>
      <c r="D786" s="17" t="s">
        <v>30</v>
      </c>
      <c r="E786" s="18" t="s">
        <v>2684</v>
      </c>
      <c r="F786" s="17"/>
      <c r="G786" s="17"/>
      <c r="H786" s="17"/>
      <c r="I786" s="18" t="s">
        <v>1285</v>
      </c>
    </row>
    <row r="787" spans="2:9" hidden="1" x14ac:dyDescent="0.25">
      <c r="B787" s="17">
        <v>6</v>
      </c>
      <c r="C787" s="17" t="s">
        <v>1286</v>
      </c>
      <c r="D787" s="17" t="s">
        <v>40</v>
      </c>
      <c r="E787" s="18" t="s">
        <v>2685</v>
      </c>
      <c r="F787" s="17"/>
      <c r="G787" s="17"/>
      <c r="H787" s="17"/>
      <c r="I787" s="18" t="s">
        <v>1287</v>
      </c>
    </row>
    <row r="788" spans="2:9" hidden="1" x14ac:dyDescent="0.25">
      <c r="B788" s="17">
        <v>6</v>
      </c>
      <c r="C788" s="17" t="s">
        <v>99</v>
      </c>
      <c r="D788" s="17" t="s">
        <v>30</v>
      </c>
      <c r="E788" s="18" t="s">
        <v>2686</v>
      </c>
      <c r="F788" s="17"/>
      <c r="G788" s="17"/>
      <c r="H788" s="17"/>
      <c r="I788" s="18" t="s">
        <v>102</v>
      </c>
    </row>
    <row r="789" spans="2:9" hidden="1" x14ac:dyDescent="0.25">
      <c r="B789" s="17">
        <v>5</v>
      </c>
      <c r="C789" s="17" t="s">
        <v>89</v>
      </c>
      <c r="D789" s="17" t="s">
        <v>30</v>
      </c>
      <c r="E789" s="18" t="s">
        <v>2317</v>
      </c>
      <c r="F789" s="17"/>
      <c r="G789" s="17"/>
      <c r="H789" s="17"/>
      <c r="I789" s="18" t="s">
        <v>90</v>
      </c>
    </row>
    <row r="790" spans="2:9" hidden="1" x14ac:dyDescent="0.25">
      <c r="B790" s="17">
        <v>5</v>
      </c>
      <c r="C790" s="17" t="s">
        <v>1288</v>
      </c>
      <c r="D790" s="17" t="s">
        <v>30</v>
      </c>
      <c r="E790" s="18" t="s">
        <v>2687</v>
      </c>
      <c r="F790" s="17"/>
      <c r="G790" s="17"/>
      <c r="H790" s="17"/>
      <c r="I790" s="18" t="s">
        <v>1289</v>
      </c>
    </row>
    <row r="791" spans="2:9" hidden="1" x14ac:dyDescent="0.25">
      <c r="B791" s="17">
        <v>5</v>
      </c>
      <c r="C791" s="17" t="s">
        <v>99</v>
      </c>
      <c r="D791" s="17" t="s">
        <v>30</v>
      </c>
      <c r="E791" s="18" t="s">
        <v>2362</v>
      </c>
      <c r="F791" s="17"/>
      <c r="G791" s="17"/>
      <c r="H791" s="17"/>
      <c r="I791" s="18" t="s">
        <v>102</v>
      </c>
    </row>
    <row r="792" spans="2:9" hidden="1" x14ac:dyDescent="0.25">
      <c r="B792" s="17">
        <v>5</v>
      </c>
      <c r="C792" s="17" t="s">
        <v>1290</v>
      </c>
      <c r="D792" s="17" t="s">
        <v>30</v>
      </c>
      <c r="E792" s="18" t="s">
        <v>2688</v>
      </c>
      <c r="F792" s="17"/>
      <c r="G792" s="17"/>
      <c r="H792" s="17"/>
      <c r="I792" s="18" t="s">
        <v>1291</v>
      </c>
    </row>
    <row r="793" spans="2:9" hidden="1" x14ac:dyDescent="0.25">
      <c r="B793" s="17">
        <v>5</v>
      </c>
      <c r="C793" s="17" t="s">
        <v>1292</v>
      </c>
      <c r="D793" s="17" t="s">
        <v>30</v>
      </c>
      <c r="E793" s="18" t="s">
        <v>2689</v>
      </c>
      <c r="F793" s="17"/>
      <c r="G793" s="17"/>
      <c r="H793" s="17"/>
      <c r="I793" s="18" t="s">
        <v>830</v>
      </c>
    </row>
    <row r="794" spans="2:9" hidden="1" x14ac:dyDescent="0.25">
      <c r="B794" s="17">
        <v>4</v>
      </c>
      <c r="C794" s="17" t="s">
        <v>1293</v>
      </c>
      <c r="D794" s="17" t="s">
        <v>40</v>
      </c>
      <c r="E794" s="18" t="s">
        <v>2690</v>
      </c>
      <c r="F794" s="17"/>
      <c r="G794" s="17"/>
      <c r="H794" s="17"/>
      <c r="I794" s="18" t="s">
        <v>1294</v>
      </c>
    </row>
    <row r="795" spans="2:9" hidden="1" x14ac:dyDescent="0.25">
      <c r="B795" s="17">
        <v>5</v>
      </c>
      <c r="C795" s="17" t="s">
        <v>692</v>
      </c>
      <c r="D795" s="17" t="s">
        <v>30</v>
      </c>
      <c r="E795" s="18" t="s">
        <v>2282</v>
      </c>
      <c r="F795" s="17"/>
      <c r="G795" s="17"/>
      <c r="H795" s="17"/>
      <c r="I795" s="18" t="s">
        <v>693</v>
      </c>
    </row>
    <row r="796" spans="2:9" hidden="1" x14ac:dyDescent="0.25">
      <c r="B796" s="17">
        <v>5</v>
      </c>
      <c r="C796" s="17" t="s">
        <v>1295</v>
      </c>
      <c r="D796" s="17" t="s">
        <v>40</v>
      </c>
      <c r="E796" s="18" t="s">
        <v>2691</v>
      </c>
      <c r="F796" s="17"/>
      <c r="G796" s="17"/>
      <c r="H796" s="17"/>
      <c r="I796" s="18" t="s">
        <v>1296</v>
      </c>
    </row>
    <row r="797" spans="2:9" hidden="1" x14ac:dyDescent="0.25">
      <c r="B797" s="17">
        <v>5</v>
      </c>
      <c r="C797" s="17" t="s">
        <v>359</v>
      </c>
      <c r="D797" s="17" t="s">
        <v>30</v>
      </c>
      <c r="E797" s="18" t="s">
        <v>2193</v>
      </c>
      <c r="F797" s="17"/>
      <c r="G797" s="17"/>
      <c r="H797" s="17"/>
      <c r="I797" s="18" t="s">
        <v>360</v>
      </c>
    </row>
    <row r="798" spans="2:9" hidden="1" x14ac:dyDescent="0.25">
      <c r="B798" s="17">
        <v>4</v>
      </c>
      <c r="C798" s="17" t="s">
        <v>1297</v>
      </c>
      <c r="D798" s="17" t="s">
        <v>30</v>
      </c>
      <c r="E798" s="18" t="s">
        <v>2692</v>
      </c>
      <c r="F798" s="17"/>
      <c r="G798" s="17"/>
      <c r="H798" s="17"/>
      <c r="I798" s="18" t="s">
        <v>1298</v>
      </c>
    </row>
    <row r="799" spans="2:9" hidden="1" x14ac:dyDescent="0.25">
      <c r="B799" s="17">
        <v>4</v>
      </c>
      <c r="C799" s="17" t="s">
        <v>1299</v>
      </c>
      <c r="D799" s="17" t="s">
        <v>43</v>
      </c>
      <c r="E799" s="18" t="s">
        <v>2693</v>
      </c>
      <c r="F799" s="17"/>
      <c r="G799" s="17"/>
      <c r="H799" s="17"/>
      <c r="I799" s="18" t="s">
        <v>1300</v>
      </c>
    </row>
    <row r="800" spans="2:9" hidden="1" x14ac:dyDescent="0.25">
      <c r="B800" s="17">
        <v>5</v>
      </c>
      <c r="C800" s="17" t="s">
        <v>1301</v>
      </c>
      <c r="D800" s="17" t="s">
        <v>30</v>
      </c>
      <c r="E800" s="18" t="s">
        <v>2694</v>
      </c>
      <c r="F800" s="17"/>
      <c r="G800" s="17"/>
      <c r="H800" s="17"/>
      <c r="I800" s="18" t="s">
        <v>54</v>
      </c>
    </row>
    <row r="801" spans="2:9" hidden="1" x14ac:dyDescent="0.25">
      <c r="B801" s="17">
        <v>5</v>
      </c>
      <c r="C801" s="17" t="s">
        <v>739</v>
      </c>
      <c r="D801" s="17" t="s">
        <v>30</v>
      </c>
      <c r="E801" s="18" t="s">
        <v>2312</v>
      </c>
      <c r="F801" s="17"/>
      <c r="G801" s="17"/>
      <c r="H801" s="17"/>
      <c r="I801" s="18" t="s">
        <v>740</v>
      </c>
    </row>
    <row r="802" spans="2:9" hidden="1" x14ac:dyDescent="0.25">
      <c r="B802" s="17">
        <v>5</v>
      </c>
      <c r="C802" s="17" t="s">
        <v>1302</v>
      </c>
      <c r="D802" s="17" t="s">
        <v>30</v>
      </c>
      <c r="E802" s="18" t="s">
        <v>2695</v>
      </c>
      <c r="F802" s="17"/>
      <c r="G802" s="17"/>
      <c r="H802" s="17"/>
      <c r="I802" s="18" t="s">
        <v>1303</v>
      </c>
    </row>
    <row r="803" spans="2:9" hidden="1" x14ac:dyDescent="0.25">
      <c r="B803" s="17">
        <v>5</v>
      </c>
      <c r="C803" s="17" t="s">
        <v>1304</v>
      </c>
      <c r="D803" s="17" t="s">
        <v>30</v>
      </c>
      <c r="E803" s="18" t="s">
        <v>2696</v>
      </c>
      <c r="F803" s="17"/>
      <c r="G803" s="17"/>
      <c r="H803" s="17"/>
      <c r="I803" s="18" t="s">
        <v>1305</v>
      </c>
    </row>
    <row r="804" spans="2:9" hidden="1" x14ac:dyDescent="0.25">
      <c r="B804" s="17">
        <v>5</v>
      </c>
      <c r="C804" s="17" t="s">
        <v>1306</v>
      </c>
      <c r="D804" s="17" t="s">
        <v>30</v>
      </c>
      <c r="E804" s="18" t="s">
        <v>2697</v>
      </c>
      <c r="F804" s="17"/>
      <c r="G804" s="17"/>
      <c r="H804" s="17"/>
      <c r="I804" s="18" t="s">
        <v>1307</v>
      </c>
    </row>
    <row r="805" spans="2:9" hidden="1" x14ac:dyDescent="0.25">
      <c r="B805" s="17">
        <v>5</v>
      </c>
      <c r="C805" s="17" t="s">
        <v>1308</v>
      </c>
      <c r="D805" s="17" t="s">
        <v>30</v>
      </c>
      <c r="E805" s="18" t="s">
        <v>2698</v>
      </c>
      <c r="F805" s="17"/>
      <c r="G805" s="17"/>
      <c r="H805" s="17"/>
      <c r="I805" s="18" t="s">
        <v>1309</v>
      </c>
    </row>
    <row r="806" spans="2:9" hidden="1" x14ac:dyDescent="0.25">
      <c r="B806" s="17">
        <v>5</v>
      </c>
      <c r="C806" s="17" t="s">
        <v>749</v>
      </c>
      <c r="D806" s="17" t="s">
        <v>30</v>
      </c>
      <c r="E806" s="18" t="s">
        <v>2319</v>
      </c>
      <c r="F806" s="17"/>
      <c r="G806" s="17"/>
      <c r="H806" s="17"/>
      <c r="I806" s="18" t="s">
        <v>750</v>
      </c>
    </row>
    <row r="807" spans="2:9" hidden="1" x14ac:dyDescent="0.25">
      <c r="B807" s="17">
        <v>5</v>
      </c>
      <c r="C807" s="17" t="s">
        <v>1310</v>
      </c>
      <c r="D807" s="17" t="s">
        <v>30</v>
      </c>
      <c r="E807" s="18" t="s">
        <v>2699</v>
      </c>
      <c r="F807" s="17"/>
      <c r="G807" s="17"/>
      <c r="H807" s="17"/>
      <c r="I807" s="18" t="s">
        <v>746</v>
      </c>
    </row>
    <row r="808" spans="2:9" hidden="1" x14ac:dyDescent="0.25">
      <c r="B808" s="17">
        <v>5</v>
      </c>
      <c r="C808" s="17" t="s">
        <v>1311</v>
      </c>
      <c r="D808" s="17" t="s">
        <v>40</v>
      </c>
      <c r="E808" s="18" t="s">
        <v>2700</v>
      </c>
      <c r="F808" s="17"/>
      <c r="G808" s="17"/>
      <c r="H808" s="17"/>
      <c r="I808" s="18" t="s">
        <v>755</v>
      </c>
    </row>
    <row r="809" spans="2:9" hidden="1" x14ac:dyDescent="0.25">
      <c r="B809" s="17">
        <v>5</v>
      </c>
      <c r="C809" s="17" t="s">
        <v>763</v>
      </c>
      <c r="D809" s="17" t="s">
        <v>30</v>
      </c>
      <c r="E809" s="18" t="s">
        <v>2327</v>
      </c>
      <c r="F809" s="17"/>
      <c r="G809" s="17"/>
      <c r="H809" s="17"/>
      <c r="I809" s="18" t="s">
        <v>755</v>
      </c>
    </row>
    <row r="810" spans="2:9" hidden="1" x14ac:dyDescent="0.25">
      <c r="B810" s="17">
        <v>5</v>
      </c>
      <c r="C810" s="17" t="s">
        <v>765</v>
      </c>
      <c r="D810" s="17" t="s">
        <v>40</v>
      </c>
      <c r="E810" s="18" t="s">
        <v>2329</v>
      </c>
      <c r="F810" s="17"/>
      <c r="G810" s="17"/>
      <c r="H810" s="17"/>
      <c r="I810" s="18" t="s">
        <v>93</v>
      </c>
    </row>
    <row r="811" spans="2:9" hidden="1" x14ac:dyDescent="0.25">
      <c r="B811" s="17">
        <v>5</v>
      </c>
      <c r="C811" s="17" t="s">
        <v>1312</v>
      </c>
      <c r="D811" s="17" t="s">
        <v>41</v>
      </c>
      <c r="E811" s="18" t="s">
        <v>2701</v>
      </c>
      <c r="F811" s="17"/>
      <c r="G811" s="17"/>
      <c r="H811" s="17"/>
      <c r="I811" s="18" t="s">
        <v>1313</v>
      </c>
    </row>
    <row r="812" spans="2:9" hidden="1" x14ac:dyDescent="0.25">
      <c r="B812" s="17">
        <v>5</v>
      </c>
      <c r="C812" s="17" t="s">
        <v>1314</v>
      </c>
      <c r="D812" s="17" t="s">
        <v>30</v>
      </c>
      <c r="E812" s="18" t="s">
        <v>2702</v>
      </c>
      <c r="F812" s="17"/>
      <c r="G812" s="17"/>
      <c r="H812" s="17"/>
      <c r="I812" s="18" t="s">
        <v>1315</v>
      </c>
    </row>
    <row r="813" spans="2:9" hidden="1" x14ac:dyDescent="0.25">
      <c r="B813" s="17">
        <v>5</v>
      </c>
      <c r="C813" s="17" t="s">
        <v>1316</v>
      </c>
      <c r="D813" s="17" t="s">
        <v>40</v>
      </c>
      <c r="E813" s="18" t="s">
        <v>2703</v>
      </c>
      <c r="F813" s="17"/>
      <c r="G813" s="17"/>
      <c r="H813" s="17"/>
      <c r="I813" s="18" t="s">
        <v>1317</v>
      </c>
    </row>
    <row r="814" spans="2:9" hidden="1" x14ac:dyDescent="0.25">
      <c r="B814" s="17">
        <v>4</v>
      </c>
      <c r="C814" s="17" t="s">
        <v>1318</v>
      </c>
      <c r="D814" s="17" t="s">
        <v>40</v>
      </c>
      <c r="E814" s="18" t="s">
        <v>2704</v>
      </c>
      <c r="F814" s="17"/>
      <c r="G814" s="17"/>
      <c r="H814" s="17"/>
      <c r="I814" s="18" t="s">
        <v>1319</v>
      </c>
    </row>
    <row r="815" spans="2:9" hidden="1" x14ac:dyDescent="0.25">
      <c r="B815" s="17">
        <v>5</v>
      </c>
      <c r="C815" s="17" t="s">
        <v>1320</v>
      </c>
      <c r="D815" s="17" t="s">
        <v>30</v>
      </c>
      <c r="E815" s="18" t="s">
        <v>2705</v>
      </c>
      <c r="F815" s="17"/>
      <c r="G815" s="17"/>
      <c r="H815" s="17"/>
      <c r="I815" s="18" t="s">
        <v>1321</v>
      </c>
    </row>
    <row r="816" spans="2:9" hidden="1" x14ac:dyDescent="0.25">
      <c r="B816" s="17">
        <v>5</v>
      </c>
      <c r="C816" s="17" t="s">
        <v>1322</v>
      </c>
      <c r="D816" s="17" t="s">
        <v>30</v>
      </c>
      <c r="E816" s="18" t="s">
        <v>2706</v>
      </c>
      <c r="F816" s="17"/>
      <c r="G816" s="17"/>
      <c r="H816" s="17"/>
      <c r="I816" s="18" t="s">
        <v>88</v>
      </c>
    </row>
    <row r="817" spans="2:9" hidden="1" x14ac:dyDescent="0.25">
      <c r="B817" s="17">
        <v>5</v>
      </c>
      <c r="C817" s="17" t="s">
        <v>1323</v>
      </c>
      <c r="D817" s="17" t="s">
        <v>40</v>
      </c>
      <c r="E817" s="18" t="s">
        <v>2707</v>
      </c>
      <c r="F817" s="17"/>
      <c r="G817" s="17"/>
      <c r="H817" s="17"/>
      <c r="I817" s="18" t="s">
        <v>724</v>
      </c>
    </row>
    <row r="818" spans="2:9" hidden="1" x14ac:dyDescent="0.25">
      <c r="B818" s="17">
        <v>5</v>
      </c>
      <c r="C818" s="17" t="s">
        <v>765</v>
      </c>
      <c r="D818" s="17" t="s">
        <v>40</v>
      </c>
      <c r="E818" s="18" t="s">
        <v>2329</v>
      </c>
      <c r="F818" s="17"/>
      <c r="G818" s="17"/>
      <c r="H818" s="17"/>
      <c r="I818" s="18" t="s">
        <v>93</v>
      </c>
    </row>
    <row r="819" spans="2:9" hidden="1" x14ac:dyDescent="0.25">
      <c r="B819" s="17">
        <v>4</v>
      </c>
      <c r="C819" s="17" t="s">
        <v>1324</v>
      </c>
      <c r="D819" s="17" t="s">
        <v>40</v>
      </c>
      <c r="E819" s="18" t="s">
        <v>2708</v>
      </c>
      <c r="F819" s="17"/>
      <c r="G819" s="17"/>
      <c r="H819" s="17"/>
      <c r="I819" s="18" t="s">
        <v>1325</v>
      </c>
    </row>
    <row r="820" spans="2:9" hidden="1" x14ac:dyDescent="0.25">
      <c r="B820" s="17">
        <v>5</v>
      </c>
      <c r="C820" s="17" t="s">
        <v>1326</v>
      </c>
      <c r="D820" s="17" t="s">
        <v>30</v>
      </c>
      <c r="E820" s="18" t="s">
        <v>2709</v>
      </c>
      <c r="F820" s="17"/>
      <c r="G820" s="17"/>
      <c r="H820" s="17"/>
      <c r="I820" s="18" t="s">
        <v>1327</v>
      </c>
    </row>
    <row r="821" spans="2:9" hidden="1" x14ac:dyDescent="0.25">
      <c r="B821" s="17">
        <v>5</v>
      </c>
      <c r="C821" s="17" t="s">
        <v>1328</v>
      </c>
      <c r="D821" s="17" t="s">
        <v>42</v>
      </c>
      <c r="E821" s="18" t="s">
        <v>2710</v>
      </c>
      <c r="F821" s="17"/>
      <c r="G821" s="17"/>
      <c r="H821" s="17"/>
      <c r="I821" s="18" t="s">
        <v>1329</v>
      </c>
    </row>
    <row r="822" spans="2:9" hidden="1" x14ac:dyDescent="0.25">
      <c r="B822" s="17">
        <v>6</v>
      </c>
      <c r="C822" s="17" t="s">
        <v>75</v>
      </c>
      <c r="D822" s="17" t="s">
        <v>30</v>
      </c>
      <c r="E822" s="18" t="s">
        <v>2341</v>
      </c>
      <c r="F822" s="17"/>
      <c r="G822" s="17"/>
      <c r="H822" s="17"/>
      <c r="I822" s="18" t="s">
        <v>76</v>
      </c>
    </row>
    <row r="823" spans="2:9" hidden="1" x14ac:dyDescent="0.25">
      <c r="B823" s="17">
        <v>5</v>
      </c>
      <c r="C823" s="17" t="s">
        <v>1330</v>
      </c>
      <c r="D823" s="17" t="s">
        <v>42</v>
      </c>
      <c r="E823" s="18" t="s">
        <v>2711</v>
      </c>
      <c r="F823" s="17"/>
      <c r="G823" s="17"/>
      <c r="H823" s="17"/>
      <c r="I823" s="18" t="s">
        <v>1331</v>
      </c>
    </row>
    <row r="824" spans="2:9" hidden="1" x14ac:dyDescent="0.25">
      <c r="B824" s="17">
        <v>6</v>
      </c>
      <c r="C824" s="17" t="s">
        <v>75</v>
      </c>
      <c r="D824" s="17" t="s">
        <v>30</v>
      </c>
      <c r="E824" s="18" t="s">
        <v>2341</v>
      </c>
      <c r="F824" s="17"/>
      <c r="G824" s="17"/>
      <c r="H824" s="17"/>
      <c r="I824" s="18" t="s">
        <v>76</v>
      </c>
    </row>
    <row r="825" spans="2:9" hidden="1" x14ac:dyDescent="0.25">
      <c r="B825" s="17">
        <v>5</v>
      </c>
      <c r="C825" s="17" t="s">
        <v>1332</v>
      </c>
      <c r="D825" s="17" t="s">
        <v>42</v>
      </c>
      <c r="E825" s="18" t="s">
        <v>2712</v>
      </c>
      <c r="F825" s="17"/>
      <c r="G825" s="17"/>
      <c r="H825" s="17"/>
      <c r="I825" s="18" t="s">
        <v>1333</v>
      </c>
    </row>
    <row r="826" spans="2:9" hidden="1" x14ac:dyDescent="0.25">
      <c r="B826" s="17">
        <v>6</v>
      </c>
      <c r="C826" s="17" t="s">
        <v>75</v>
      </c>
      <c r="D826" s="17" t="s">
        <v>30</v>
      </c>
      <c r="E826" s="18" t="s">
        <v>2341</v>
      </c>
      <c r="F826" s="17"/>
      <c r="G826" s="17"/>
      <c r="H826" s="17"/>
      <c r="I826" s="18" t="s">
        <v>76</v>
      </c>
    </row>
    <row r="827" spans="2:9" hidden="1" x14ac:dyDescent="0.25">
      <c r="B827" s="17">
        <v>5</v>
      </c>
      <c r="C827" s="17" t="s">
        <v>1334</v>
      </c>
      <c r="D827" s="17" t="s">
        <v>42</v>
      </c>
      <c r="E827" s="18" t="s">
        <v>2713</v>
      </c>
      <c r="F827" s="17"/>
      <c r="G827" s="17"/>
      <c r="H827" s="17"/>
      <c r="I827" s="18" t="s">
        <v>1335</v>
      </c>
    </row>
    <row r="828" spans="2:9" hidden="1" x14ac:dyDescent="0.25">
      <c r="B828" s="17">
        <v>6</v>
      </c>
      <c r="C828" s="17" t="s">
        <v>779</v>
      </c>
      <c r="D828" s="17" t="s">
        <v>30</v>
      </c>
      <c r="E828" s="18" t="s">
        <v>2344</v>
      </c>
      <c r="F828" s="17"/>
      <c r="G828" s="17"/>
      <c r="H828" s="17"/>
      <c r="I828" s="18" t="s">
        <v>781</v>
      </c>
    </row>
    <row r="829" spans="2:9" hidden="1" x14ac:dyDescent="0.25">
      <c r="B829" s="17">
        <v>5</v>
      </c>
      <c r="C829" s="17" t="s">
        <v>1336</v>
      </c>
      <c r="D829" s="17" t="s">
        <v>40</v>
      </c>
      <c r="E829" s="18" t="s">
        <v>2714</v>
      </c>
      <c r="F829" s="17"/>
      <c r="G829" s="17"/>
      <c r="H829" s="17"/>
      <c r="I829" s="18" t="s">
        <v>1337</v>
      </c>
    </row>
    <row r="830" spans="2:9" hidden="1" x14ac:dyDescent="0.25">
      <c r="B830" s="17">
        <v>6</v>
      </c>
      <c r="C830" s="17" t="s">
        <v>779</v>
      </c>
      <c r="D830" s="17" t="s">
        <v>30</v>
      </c>
      <c r="E830" s="18" t="s">
        <v>2344</v>
      </c>
      <c r="F830" s="17"/>
      <c r="G830" s="17"/>
      <c r="H830" s="17"/>
      <c r="I830" s="18" t="s">
        <v>781</v>
      </c>
    </row>
    <row r="831" spans="2:9" hidden="1" x14ac:dyDescent="0.25">
      <c r="B831" s="17">
        <v>5</v>
      </c>
      <c r="C831" s="17" t="s">
        <v>1338</v>
      </c>
      <c r="D831" s="17" t="s">
        <v>41</v>
      </c>
      <c r="E831" s="18" t="s">
        <v>2715</v>
      </c>
      <c r="F831" s="17"/>
      <c r="G831" s="17"/>
      <c r="H831" s="17"/>
      <c r="I831" s="18" t="s">
        <v>1339</v>
      </c>
    </row>
    <row r="832" spans="2:9" hidden="1" x14ac:dyDescent="0.25">
      <c r="B832" s="17">
        <v>6</v>
      </c>
      <c r="C832" s="17" t="s">
        <v>779</v>
      </c>
      <c r="D832" s="17" t="s">
        <v>30</v>
      </c>
      <c r="E832" s="18" t="s">
        <v>2344</v>
      </c>
      <c r="F832" s="17"/>
      <c r="G832" s="17"/>
      <c r="H832" s="17"/>
      <c r="I832" s="18" t="s">
        <v>781</v>
      </c>
    </row>
    <row r="833" spans="2:9" hidden="1" x14ac:dyDescent="0.25">
      <c r="B833" s="17">
        <v>5</v>
      </c>
      <c r="C833" s="17" t="s">
        <v>1340</v>
      </c>
      <c r="D833" s="17" t="s">
        <v>30</v>
      </c>
      <c r="E833" s="18" t="s">
        <v>2716</v>
      </c>
      <c r="F833" s="17"/>
      <c r="G833" s="17"/>
      <c r="H833" s="17"/>
      <c r="I833" s="18" t="s">
        <v>52</v>
      </c>
    </row>
    <row r="834" spans="2:9" hidden="1" x14ac:dyDescent="0.25">
      <c r="B834" s="17">
        <v>5</v>
      </c>
      <c r="C834" s="17" t="s">
        <v>1341</v>
      </c>
      <c r="D834" s="17" t="s">
        <v>30</v>
      </c>
      <c r="E834" s="18" t="s">
        <v>2717</v>
      </c>
      <c r="F834" s="17"/>
      <c r="G834" s="17"/>
      <c r="H834" s="17"/>
      <c r="I834" s="18" t="s">
        <v>52</v>
      </c>
    </row>
    <row r="835" spans="2:9" hidden="1" x14ac:dyDescent="0.25">
      <c r="B835" s="17">
        <v>5</v>
      </c>
      <c r="C835" s="17" t="s">
        <v>1342</v>
      </c>
      <c r="D835" s="17" t="s">
        <v>30</v>
      </c>
      <c r="E835" s="18" t="s">
        <v>2718</v>
      </c>
      <c r="F835" s="17"/>
      <c r="G835" s="17"/>
      <c r="H835" s="17"/>
      <c r="I835" s="18" t="s">
        <v>52</v>
      </c>
    </row>
    <row r="836" spans="2:9" hidden="1" x14ac:dyDescent="0.25">
      <c r="B836" s="17">
        <v>5</v>
      </c>
      <c r="C836" s="17" t="s">
        <v>1343</v>
      </c>
      <c r="D836" s="17" t="s">
        <v>30</v>
      </c>
      <c r="E836" s="18" t="s">
        <v>2719</v>
      </c>
      <c r="F836" s="17"/>
      <c r="G836" s="17"/>
      <c r="H836" s="17"/>
      <c r="I836" s="18" t="s">
        <v>52</v>
      </c>
    </row>
    <row r="837" spans="2:9" hidden="1" x14ac:dyDescent="0.25">
      <c r="B837" s="17">
        <v>5</v>
      </c>
      <c r="C837" s="17" t="s">
        <v>1344</v>
      </c>
      <c r="D837" s="17" t="s">
        <v>30</v>
      </c>
      <c r="E837" s="18" t="s">
        <v>2720</v>
      </c>
      <c r="F837" s="17"/>
      <c r="G837" s="17"/>
      <c r="H837" s="17"/>
      <c r="I837" s="18" t="s">
        <v>52</v>
      </c>
    </row>
    <row r="838" spans="2:9" hidden="1" x14ac:dyDescent="0.25">
      <c r="B838" s="17">
        <v>5</v>
      </c>
      <c r="C838" s="17" t="s">
        <v>1345</v>
      </c>
      <c r="D838" s="17" t="s">
        <v>30</v>
      </c>
      <c r="E838" s="18" t="s">
        <v>2721</v>
      </c>
      <c r="F838" s="17"/>
      <c r="G838" s="17"/>
      <c r="H838" s="17"/>
      <c r="I838" s="18" t="s">
        <v>52</v>
      </c>
    </row>
    <row r="839" spans="2:9" hidden="1" x14ac:dyDescent="0.25">
      <c r="B839" s="17">
        <v>5</v>
      </c>
      <c r="C839" s="17" t="s">
        <v>1346</v>
      </c>
      <c r="D839" s="17" t="s">
        <v>30</v>
      </c>
      <c r="E839" s="18" t="s">
        <v>2722</v>
      </c>
      <c r="F839" s="17"/>
      <c r="G839" s="17"/>
      <c r="H839" s="17"/>
      <c r="I839" s="18" t="s">
        <v>52</v>
      </c>
    </row>
    <row r="840" spans="2:9" hidden="1" x14ac:dyDescent="0.25">
      <c r="B840" s="17">
        <v>5</v>
      </c>
      <c r="C840" s="17" t="s">
        <v>1347</v>
      </c>
      <c r="D840" s="17" t="s">
        <v>30</v>
      </c>
      <c r="E840" s="18" t="s">
        <v>2723</v>
      </c>
      <c r="F840" s="17"/>
      <c r="G840" s="17"/>
      <c r="H840" s="17"/>
      <c r="I840" s="18" t="s">
        <v>52</v>
      </c>
    </row>
    <row r="841" spans="2:9" hidden="1" x14ac:dyDescent="0.25">
      <c r="B841" s="17">
        <v>5</v>
      </c>
      <c r="C841" s="17" t="s">
        <v>1348</v>
      </c>
      <c r="D841" s="17" t="s">
        <v>30</v>
      </c>
      <c r="E841" s="18" t="s">
        <v>2724</v>
      </c>
      <c r="F841" s="17"/>
      <c r="G841" s="17"/>
      <c r="H841" s="17"/>
      <c r="I841" s="18" t="s">
        <v>52</v>
      </c>
    </row>
    <row r="842" spans="2:9" hidden="1" x14ac:dyDescent="0.25">
      <c r="B842" s="17">
        <v>5</v>
      </c>
      <c r="C842" s="17" t="s">
        <v>1349</v>
      </c>
      <c r="D842" s="17" t="s">
        <v>30</v>
      </c>
      <c r="E842" s="18" t="s">
        <v>2725</v>
      </c>
      <c r="F842" s="17"/>
      <c r="G842" s="17"/>
      <c r="H842" s="17"/>
      <c r="I842" s="18" t="s">
        <v>52</v>
      </c>
    </row>
    <row r="843" spans="2:9" hidden="1" x14ac:dyDescent="0.25">
      <c r="B843" s="17">
        <v>5</v>
      </c>
      <c r="C843" s="17" t="s">
        <v>1350</v>
      </c>
      <c r="D843" s="17" t="s">
        <v>42</v>
      </c>
      <c r="E843" s="18" t="s">
        <v>2726</v>
      </c>
      <c r="F843" s="17"/>
      <c r="G843" s="17"/>
      <c r="H843" s="17"/>
      <c r="I843" s="18" t="s">
        <v>52</v>
      </c>
    </row>
    <row r="844" spans="2:9" hidden="1" x14ac:dyDescent="0.25">
      <c r="B844" s="17">
        <v>5</v>
      </c>
      <c r="C844" s="17" t="s">
        <v>1351</v>
      </c>
      <c r="D844" s="17" t="s">
        <v>42</v>
      </c>
      <c r="E844" s="18" t="s">
        <v>2727</v>
      </c>
      <c r="F844" s="17"/>
      <c r="G844" s="17"/>
      <c r="H844" s="17"/>
      <c r="I844" s="18" t="s">
        <v>1352</v>
      </c>
    </row>
    <row r="845" spans="2:9" hidden="1" x14ac:dyDescent="0.25">
      <c r="B845" s="17">
        <v>5</v>
      </c>
      <c r="C845" s="17" t="s">
        <v>1353</v>
      </c>
      <c r="D845" s="17" t="s">
        <v>42</v>
      </c>
      <c r="E845" s="18" t="s">
        <v>2728</v>
      </c>
      <c r="F845" s="17"/>
      <c r="G845" s="17"/>
      <c r="H845" s="17"/>
      <c r="I845" s="18" t="s">
        <v>52</v>
      </c>
    </row>
    <row r="846" spans="2:9" hidden="1" x14ac:dyDescent="0.25">
      <c r="B846" s="17">
        <v>5</v>
      </c>
      <c r="C846" s="17" t="s">
        <v>1354</v>
      </c>
      <c r="D846" s="17" t="s">
        <v>42</v>
      </c>
      <c r="E846" s="18" t="s">
        <v>2729</v>
      </c>
      <c r="F846" s="17"/>
      <c r="G846" s="17"/>
      <c r="H846" s="17"/>
      <c r="I846" s="18" t="s">
        <v>52</v>
      </c>
    </row>
    <row r="847" spans="2:9" hidden="1" x14ac:dyDescent="0.25">
      <c r="B847" s="17">
        <v>5</v>
      </c>
      <c r="C847" s="17" t="s">
        <v>1355</v>
      </c>
      <c r="D847" s="17" t="s">
        <v>42</v>
      </c>
      <c r="E847" s="18" t="s">
        <v>2730</v>
      </c>
      <c r="F847" s="17"/>
      <c r="G847" s="17"/>
      <c r="H847" s="17"/>
      <c r="I847" s="18" t="s">
        <v>52</v>
      </c>
    </row>
    <row r="848" spans="2:9" hidden="1" x14ac:dyDescent="0.25">
      <c r="B848" s="17">
        <v>5</v>
      </c>
      <c r="C848" s="17" t="s">
        <v>1356</v>
      </c>
      <c r="D848" s="17" t="s">
        <v>42</v>
      </c>
      <c r="E848" s="18" t="s">
        <v>2731</v>
      </c>
      <c r="F848" s="17"/>
      <c r="G848" s="17"/>
      <c r="H848" s="17"/>
      <c r="I848" s="18" t="s">
        <v>52</v>
      </c>
    </row>
    <row r="849" spans="2:9" hidden="1" x14ac:dyDescent="0.25">
      <c r="B849" s="17">
        <v>5</v>
      </c>
      <c r="C849" s="17" t="s">
        <v>1357</v>
      </c>
      <c r="D849" s="17" t="s">
        <v>42</v>
      </c>
      <c r="E849" s="18" t="s">
        <v>2732</v>
      </c>
      <c r="F849" s="17"/>
      <c r="G849" s="17"/>
      <c r="H849" s="17"/>
      <c r="I849" s="18" t="s">
        <v>52</v>
      </c>
    </row>
    <row r="850" spans="2:9" hidden="1" x14ac:dyDescent="0.25">
      <c r="B850" s="17">
        <v>5</v>
      </c>
      <c r="C850" s="17" t="s">
        <v>793</v>
      </c>
      <c r="D850" s="17" t="s">
        <v>30</v>
      </c>
      <c r="E850" s="18" t="s">
        <v>2357</v>
      </c>
      <c r="F850" s="17"/>
      <c r="G850" s="17"/>
      <c r="H850" s="17"/>
      <c r="I850" s="18" t="s">
        <v>794</v>
      </c>
    </row>
    <row r="851" spans="2:9" hidden="1" x14ac:dyDescent="0.25">
      <c r="B851" s="17">
        <v>5</v>
      </c>
      <c r="C851" s="17" t="s">
        <v>1358</v>
      </c>
      <c r="D851" s="17" t="s">
        <v>30</v>
      </c>
      <c r="E851" s="18" t="s">
        <v>2733</v>
      </c>
      <c r="F851" s="17"/>
      <c r="G851" s="17"/>
      <c r="H851" s="17"/>
      <c r="I851" s="18" t="s">
        <v>794</v>
      </c>
    </row>
    <row r="852" spans="2:9" hidden="1" x14ac:dyDescent="0.25">
      <c r="B852" s="17">
        <v>5</v>
      </c>
      <c r="C852" s="17" t="s">
        <v>1359</v>
      </c>
      <c r="D852" s="17" t="s">
        <v>30</v>
      </c>
      <c r="E852" s="18" t="s">
        <v>2734</v>
      </c>
      <c r="F852" s="17"/>
      <c r="G852" s="17"/>
      <c r="H852" s="17"/>
      <c r="I852" s="18" t="s">
        <v>794</v>
      </c>
    </row>
    <row r="853" spans="2:9" hidden="1" x14ac:dyDescent="0.25">
      <c r="B853" s="17">
        <v>5</v>
      </c>
      <c r="C853" s="17" t="s">
        <v>1360</v>
      </c>
      <c r="D853" s="17" t="s">
        <v>30</v>
      </c>
      <c r="E853" s="18" t="s">
        <v>2735</v>
      </c>
      <c r="F853" s="17"/>
      <c r="G853" s="17"/>
      <c r="H853" s="17"/>
      <c r="I853" s="18" t="s">
        <v>794</v>
      </c>
    </row>
    <row r="854" spans="2:9" hidden="1" x14ac:dyDescent="0.25">
      <c r="B854" s="17">
        <v>5</v>
      </c>
      <c r="C854" s="17" t="s">
        <v>1361</v>
      </c>
      <c r="D854" s="17" t="s">
        <v>30</v>
      </c>
      <c r="E854" s="18" t="s">
        <v>2736</v>
      </c>
      <c r="F854" s="17"/>
      <c r="G854" s="17"/>
      <c r="H854" s="17"/>
      <c r="I854" s="18" t="s">
        <v>794</v>
      </c>
    </row>
    <row r="855" spans="2:9" hidden="1" x14ac:dyDescent="0.25">
      <c r="B855" s="17">
        <v>5</v>
      </c>
      <c r="C855" s="17" t="s">
        <v>1362</v>
      </c>
      <c r="D855" s="17" t="s">
        <v>30</v>
      </c>
      <c r="E855" s="18" t="s">
        <v>2737</v>
      </c>
      <c r="F855" s="17"/>
      <c r="G855" s="17"/>
      <c r="H855" s="17"/>
      <c r="I855" s="18" t="s">
        <v>794</v>
      </c>
    </row>
    <row r="856" spans="2:9" hidden="1" x14ac:dyDescent="0.25">
      <c r="B856" s="17">
        <v>5</v>
      </c>
      <c r="C856" s="17" t="s">
        <v>1363</v>
      </c>
      <c r="D856" s="17" t="s">
        <v>30</v>
      </c>
      <c r="E856" s="18" t="s">
        <v>2738</v>
      </c>
      <c r="F856" s="17"/>
      <c r="G856" s="17"/>
      <c r="H856" s="17"/>
      <c r="I856" s="18" t="s">
        <v>794</v>
      </c>
    </row>
    <row r="857" spans="2:9" hidden="1" x14ac:dyDescent="0.25">
      <c r="B857" s="17">
        <v>5</v>
      </c>
      <c r="C857" s="17" t="s">
        <v>1364</v>
      </c>
      <c r="D857" s="17" t="s">
        <v>40</v>
      </c>
      <c r="E857" s="18" t="s">
        <v>2739</v>
      </c>
      <c r="F857" s="17"/>
      <c r="G857" s="17"/>
      <c r="H857" s="17"/>
      <c r="I857" s="18" t="s">
        <v>794</v>
      </c>
    </row>
    <row r="858" spans="2:9" hidden="1" x14ac:dyDescent="0.25">
      <c r="B858" s="17">
        <v>5</v>
      </c>
      <c r="C858" s="17" t="s">
        <v>136</v>
      </c>
      <c r="D858" s="17" t="s">
        <v>40</v>
      </c>
      <c r="E858" s="18" t="s">
        <v>2740</v>
      </c>
      <c r="F858" s="17"/>
      <c r="G858" s="17"/>
      <c r="H858" s="17"/>
      <c r="I858" s="18" t="s">
        <v>1365</v>
      </c>
    </row>
    <row r="859" spans="2:9" hidden="1" x14ac:dyDescent="0.25">
      <c r="B859" s="17">
        <v>5</v>
      </c>
      <c r="C859" s="17" t="s">
        <v>1288</v>
      </c>
      <c r="D859" s="17" t="s">
        <v>30</v>
      </c>
      <c r="E859" s="18" t="s">
        <v>2687</v>
      </c>
      <c r="F859" s="17"/>
      <c r="G859" s="17"/>
      <c r="H859" s="17"/>
      <c r="I859" s="18" t="s">
        <v>1289</v>
      </c>
    </row>
    <row r="860" spans="2:9" hidden="1" x14ac:dyDescent="0.25">
      <c r="B860" s="17">
        <v>5</v>
      </c>
      <c r="C860" s="17" t="s">
        <v>1366</v>
      </c>
      <c r="D860" s="17" t="s">
        <v>30</v>
      </c>
      <c r="E860" s="18" t="s">
        <v>2741</v>
      </c>
      <c r="F860" s="17"/>
      <c r="G860" s="17"/>
      <c r="H860" s="17"/>
      <c r="I860" s="18" t="s">
        <v>1367</v>
      </c>
    </row>
    <row r="861" spans="2:9" hidden="1" x14ac:dyDescent="0.25">
      <c r="B861" s="17">
        <v>5</v>
      </c>
      <c r="C861" s="17" t="s">
        <v>1368</v>
      </c>
      <c r="D861" s="17" t="s">
        <v>30</v>
      </c>
      <c r="E861" s="18" t="s">
        <v>2742</v>
      </c>
      <c r="F861" s="17"/>
      <c r="G861" s="17"/>
      <c r="H861" s="17"/>
      <c r="I861" s="18" t="s">
        <v>1369</v>
      </c>
    </row>
    <row r="862" spans="2:9" hidden="1" x14ac:dyDescent="0.25">
      <c r="B862" s="17">
        <v>5</v>
      </c>
      <c r="C862" s="17" t="s">
        <v>432</v>
      </c>
      <c r="D862" s="17" t="s">
        <v>30</v>
      </c>
      <c r="E862" s="18" t="s">
        <v>2743</v>
      </c>
      <c r="F862" s="17"/>
      <c r="G862" s="17"/>
      <c r="H862" s="17"/>
      <c r="I862" s="18" t="s">
        <v>433</v>
      </c>
    </row>
    <row r="863" spans="2:9" hidden="1" x14ac:dyDescent="0.25">
      <c r="B863" s="17">
        <v>5</v>
      </c>
      <c r="C863" s="17" t="s">
        <v>103</v>
      </c>
      <c r="D863" s="17" t="s">
        <v>30</v>
      </c>
      <c r="E863" s="18" t="s">
        <v>2363</v>
      </c>
      <c r="F863" s="17"/>
      <c r="G863" s="17"/>
      <c r="H863" s="17"/>
      <c r="I863" s="18" t="s">
        <v>104</v>
      </c>
    </row>
    <row r="864" spans="2:9" hidden="1" x14ac:dyDescent="0.25">
      <c r="B864" s="17">
        <v>5</v>
      </c>
      <c r="C864" s="17" t="s">
        <v>1370</v>
      </c>
      <c r="D864" s="17" t="s">
        <v>40</v>
      </c>
      <c r="E864" s="18" t="s">
        <v>2744</v>
      </c>
      <c r="F864" s="17"/>
      <c r="G864" s="17"/>
      <c r="H864" s="17"/>
      <c r="I864" s="18" t="s">
        <v>1371</v>
      </c>
    </row>
    <row r="865" spans="2:9" hidden="1" x14ac:dyDescent="0.25">
      <c r="B865" s="17">
        <v>5</v>
      </c>
      <c r="C865" s="17" t="s">
        <v>428</v>
      </c>
      <c r="D865" s="17" t="s">
        <v>30</v>
      </c>
      <c r="E865" s="18" t="s">
        <v>2100</v>
      </c>
      <c r="F865" s="17"/>
      <c r="G865" s="17"/>
      <c r="H865" s="17"/>
      <c r="I865" s="18" t="s">
        <v>106</v>
      </c>
    </row>
    <row r="866" spans="2:9" hidden="1" x14ac:dyDescent="0.25">
      <c r="B866" s="17">
        <v>5</v>
      </c>
      <c r="C866" s="17" t="s">
        <v>800</v>
      </c>
      <c r="D866" s="17" t="s">
        <v>30</v>
      </c>
      <c r="E866" s="18" t="s">
        <v>2364</v>
      </c>
      <c r="F866" s="17"/>
      <c r="G866" s="17"/>
      <c r="H866" s="17"/>
      <c r="I866" s="18" t="s">
        <v>106</v>
      </c>
    </row>
    <row r="867" spans="2:9" hidden="1" x14ac:dyDescent="0.25">
      <c r="B867" s="17">
        <v>5</v>
      </c>
      <c r="C867" s="17" t="s">
        <v>801</v>
      </c>
      <c r="D867" s="17" t="s">
        <v>30</v>
      </c>
      <c r="E867" s="18" t="s">
        <v>2365</v>
      </c>
      <c r="F867" s="17"/>
      <c r="G867" s="17"/>
      <c r="H867" s="17"/>
      <c r="I867" s="18" t="s">
        <v>106</v>
      </c>
    </row>
    <row r="868" spans="2:9" hidden="1" x14ac:dyDescent="0.25">
      <c r="B868" s="17">
        <v>5</v>
      </c>
      <c r="C868" s="17" t="s">
        <v>107</v>
      </c>
      <c r="D868" s="17" t="s">
        <v>40</v>
      </c>
      <c r="E868" s="18" t="s">
        <v>2101</v>
      </c>
      <c r="F868" s="17"/>
      <c r="G868" s="17"/>
      <c r="H868" s="17"/>
      <c r="I868" s="18" t="s">
        <v>108</v>
      </c>
    </row>
    <row r="869" spans="2:9" hidden="1" x14ac:dyDescent="0.25">
      <c r="B869" s="17">
        <v>5</v>
      </c>
      <c r="C869" s="17" t="s">
        <v>55</v>
      </c>
      <c r="D869" s="17" t="s">
        <v>40</v>
      </c>
      <c r="E869" s="18" t="s">
        <v>2102</v>
      </c>
      <c r="F869" s="17"/>
      <c r="G869" s="17"/>
      <c r="H869" s="17"/>
      <c r="I869" s="18" t="s">
        <v>56</v>
      </c>
    </row>
    <row r="870" spans="2:9" hidden="1" x14ac:dyDescent="0.25">
      <c r="B870" s="17">
        <v>5</v>
      </c>
      <c r="C870" s="17" t="s">
        <v>1372</v>
      </c>
      <c r="D870" s="17" t="s">
        <v>42</v>
      </c>
      <c r="E870" s="18" t="s">
        <v>2745</v>
      </c>
      <c r="F870" s="17"/>
      <c r="G870" s="17"/>
      <c r="H870" s="17"/>
      <c r="I870" s="18" t="s">
        <v>431</v>
      </c>
    </row>
    <row r="871" spans="2:9" hidden="1" x14ac:dyDescent="0.25">
      <c r="B871" s="17">
        <v>5</v>
      </c>
      <c r="C871" s="17" t="s">
        <v>1373</v>
      </c>
      <c r="D871" s="17" t="s">
        <v>40</v>
      </c>
      <c r="E871" s="18" t="s">
        <v>2746</v>
      </c>
      <c r="F871" s="17"/>
      <c r="G871" s="17"/>
      <c r="H871" s="17"/>
      <c r="I871" s="18" t="s">
        <v>805</v>
      </c>
    </row>
    <row r="872" spans="2:9" hidden="1" x14ac:dyDescent="0.25">
      <c r="B872" s="17">
        <v>5</v>
      </c>
      <c r="C872" s="17" t="s">
        <v>802</v>
      </c>
      <c r="D872" s="17" t="s">
        <v>30</v>
      </c>
      <c r="E872" s="18" t="s">
        <v>2366</v>
      </c>
      <c r="F872" s="17"/>
      <c r="G872" s="17"/>
      <c r="H872" s="17"/>
      <c r="I872" s="18" t="s">
        <v>803</v>
      </c>
    </row>
    <row r="873" spans="2:9" hidden="1" x14ac:dyDescent="0.25">
      <c r="B873" s="17">
        <v>4</v>
      </c>
      <c r="C873" s="17" t="s">
        <v>1374</v>
      </c>
      <c r="D873" s="17" t="s">
        <v>30</v>
      </c>
      <c r="E873" s="18" t="s">
        <v>2747</v>
      </c>
      <c r="F873" s="17"/>
      <c r="G873" s="17"/>
      <c r="H873" s="17"/>
      <c r="I873" s="18" t="s">
        <v>1375</v>
      </c>
    </row>
    <row r="874" spans="2:9" hidden="1" x14ac:dyDescent="0.25">
      <c r="B874" s="17">
        <v>4</v>
      </c>
      <c r="C874" s="17" t="s">
        <v>1376</v>
      </c>
      <c r="D874" s="17" t="s">
        <v>30</v>
      </c>
      <c r="E874" s="18" t="s">
        <v>2748</v>
      </c>
      <c r="F874" s="17"/>
      <c r="G874" s="17"/>
      <c r="H874" s="17"/>
      <c r="I874" s="18" t="s">
        <v>1377</v>
      </c>
    </row>
    <row r="875" spans="2:9" hidden="1" x14ac:dyDescent="0.25">
      <c r="B875" s="17">
        <v>4</v>
      </c>
      <c r="C875" s="17" t="s">
        <v>1378</v>
      </c>
      <c r="D875" s="17" t="s">
        <v>40</v>
      </c>
      <c r="E875" s="18" t="s">
        <v>2749</v>
      </c>
      <c r="F875" s="17"/>
      <c r="G875" s="17"/>
      <c r="H875" s="17"/>
      <c r="I875" s="18" t="s">
        <v>1365</v>
      </c>
    </row>
    <row r="876" spans="2:9" hidden="1" x14ac:dyDescent="0.25">
      <c r="B876" s="17">
        <v>4</v>
      </c>
      <c r="C876" s="17" t="s">
        <v>99</v>
      </c>
      <c r="D876" s="17" t="s">
        <v>30</v>
      </c>
      <c r="E876" s="18" t="s">
        <v>2372</v>
      </c>
      <c r="F876" s="17"/>
      <c r="G876" s="17"/>
      <c r="H876" s="17"/>
      <c r="I876" s="18" t="s">
        <v>799</v>
      </c>
    </row>
    <row r="877" spans="2:9" hidden="1" x14ac:dyDescent="0.25">
      <c r="B877" s="17">
        <v>4</v>
      </c>
      <c r="C877" s="17" t="s">
        <v>99</v>
      </c>
      <c r="D877" s="17" t="s">
        <v>49</v>
      </c>
      <c r="E877" s="18" t="s">
        <v>2372</v>
      </c>
      <c r="F877" s="17"/>
      <c r="G877" s="17"/>
      <c r="H877" s="17"/>
      <c r="I877" s="18" t="s">
        <v>101</v>
      </c>
    </row>
    <row r="878" spans="2:9" hidden="1" x14ac:dyDescent="0.25">
      <c r="B878" s="17">
        <v>4</v>
      </c>
      <c r="C878" s="17" t="s">
        <v>801</v>
      </c>
      <c r="D878" s="17" t="s">
        <v>30</v>
      </c>
      <c r="E878" s="18" t="s">
        <v>2750</v>
      </c>
      <c r="F878" s="17"/>
      <c r="G878" s="17"/>
      <c r="H878" s="17"/>
      <c r="I878" s="18" t="s">
        <v>106</v>
      </c>
    </row>
    <row r="879" spans="2:9" hidden="1" x14ac:dyDescent="0.25">
      <c r="B879" s="17">
        <v>4</v>
      </c>
      <c r="C879" s="17" t="s">
        <v>820</v>
      </c>
      <c r="D879" s="17" t="s">
        <v>30</v>
      </c>
      <c r="E879" s="18" t="s">
        <v>2377</v>
      </c>
      <c r="F879" s="17"/>
      <c r="G879" s="17"/>
      <c r="H879" s="17"/>
      <c r="I879" s="18" t="s">
        <v>56</v>
      </c>
    </row>
    <row r="880" spans="2:9" hidden="1" x14ac:dyDescent="0.25">
      <c r="B880" s="17">
        <v>4</v>
      </c>
      <c r="C880" s="17" t="s">
        <v>163</v>
      </c>
      <c r="D880" s="17" t="s">
        <v>43</v>
      </c>
      <c r="E880" s="18" t="s">
        <v>2485</v>
      </c>
      <c r="F880" s="17"/>
      <c r="G880" s="17"/>
      <c r="H880" s="17"/>
      <c r="I880" s="18" t="s">
        <v>56</v>
      </c>
    </row>
    <row r="881" spans="2:9" hidden="1" x14ac:dyDescent="0.25">
      <c r="B881" s="17">
        <v>4</v>
      </c>
      <c r="C881" s="17" t="s">
        <v>1379</v>
      </c>
      <c r="D881" s="17" t="s">
        <v>40</v>
      </c>
      <c r="E881" s="18" t="s">
        <v>2751</v>
      </c>
      <c r="F881" s="17"/>
      <c r="G881" s="17"/>
      <c r="H881" s="17"/>
      <c r="I881" s="18" t="s">
        <v>644</v>
      </c>
    </row>
    <row r="882" spans="2:9" hidden="1" x14ac:dyDescent="0.25">
      <c r="B882" s="17">
        <v>4</v>
      </c>
      <c r="C882" s="17" t="s">
        <v>1380</v>
      </c>
      <c r="D882" s="17" t="s">
        <v>30</v>
      </c>
      <c r="E882" s="18" t="s">
        <v>2752</v>
      </c>
      <c r="F882" s="17"/>
      <c r="G882" s="17"/>
      <c r="H882" s="17"/>
      <c r="I882" s="18" t="s">
        <v>1381</v>
      </c>
    </row>
    <row r="883" spans="2:9" hidden="1" x14ac:dyDescent="0.25">
      <c r="B883" s="17">
        <v>4</v>
      </c>
      <c r="C883" s="17" t="s">
        <v>1382</v>
      </c>
      <c r="D883" s="17" t="s">
        <v>30</v>
      </c>
      <c r="E883" s="18" t="s">
        <v>2753</v>
      </c>
      <c r="F883" s="17"/>
      <c r="G883" s="17"/>
      <c r="H883" s="17"/>
      <c r="I883" s="18" t="s">
        <v>1383</v>
      </c>
    </row>
    <row r="884" spans="2:9" hidden="1" x14ac:dyDescent="0.25">
      <c r="B884" s="17">
        <v>4</v>
      </c>
      <c r="C884" s="17" t="s">
        <v>1384</v>
      </c>
      <c r="D884" s="17" t="s">
        <v>40</v>
      </c>
      <c r="E884" s="18" t="s">
        <v>2754</v>
      </c>
      <c r="F884" s="17"/>
      <c r="G884" s="17"/>
      <c r="H884" s="17"/>
      <c r="I884" s="18" t="s">
        <v>805</v>
      </c>
    </row>
    <row r="885" spans="2:9" hidden="1" x14ac:dyDescent="0.25">
      <c r="B885" s="17">
        <v>4</v>
      </c>
      <c r="C885" s="17" t="s">
        <v>1373</v>
      </c>
      <c r="D885" s="17" t="s">
        <v>40</v>
      </c>
      <c r="E885" s="18" t="s">
        <v>2755</v>
      </c>
      <c r="F885" s="17"/>
      <c r="G885" s="17"/>
      <c r="H885" s="17"/>
      <c r="I885" s="18" t="s">
        <v>805</v>
      </c>
    </row>
    <row r="886" spans="2:9" hidden="1" x14ac:dyDescent="0.25">
      <c r="B886" s="17">
        <v>4</v>
      </c>
      <c r="C886" s="17" t="s">
        <v>802</v>
      </c>
      <c r="D886" s="17" t="s">
        <v>30</v>
      </c>
      <c r="E886" s="18" t="s">
        <v>2756</v>
      </c>
      <c r="F886" s="17"/>
      <c r="G886" s="17"/>
      <c r="H886" s="17"/>
      <c r="I886" s="18" t="s">
        <v>803</v>
      </c>
    </row>
    <row r="887" spans="2:9" hidden="1" x14ac:dyDescent="0.25">
      <c r="B887" s="17">
        <v>4</v>
      </c>
      <c r="C887" s="17" t="s">
        <v>804</v>
      </c>
      <c r="D887" s="17" t="s">
        <v>42</v>
      </c>
      <c r="E887" s="18" t="s">
        <v>2757</v>
      </c>
      <c r="F887" s="17"/>
      <c r="G887" s="17"/>
      <c r="H887" s="17"/>
      <c r="I887" s="18" t="s">
        <v>805</v>
      </c>
    </row>
    <row r="888" spans="2:9" hidden="1" x14ac:dyDescent="0.25">
      <c r="B888" s="17">
        <v>4</v>
      </c>
      <c r="C888" s="17" t="s">
        <v>1385</v>
      </c>
      <c r="D888" s="17" t="s">
        <v>40</v>
      </c>
      <c r="E888" s="18" t="s">
        <v>2758</v>
      </c>
      <c r="F888" s="17"/>
      <c r="G888" s="17"/>
      <c r="H888" s="17"/>
      <c r="I888" s="18" t="s">
        <v>110</v>
      </c>
    </row>
    <row r="889" spans="2:9" x14ac:dyDescent="0.25">
      <c r="B889" s="17">
        <v>3</v>
      </c>
      <c r="C889" s="17" t="s">
        <v>1386</v>
      </c>
      <c r="D889" s="17" t="s">
        <v>30</v>
      </c>
      <c r="E889" s="18" t="s">
        <v>2759</v>
      </c>
      <c r="F889" s="17" t="s">
        <v>31</v>
      </c>
      <c r="G889" s="17" t="s">
        <v>332</v>
      </c>
      <c r="H889" s="17" t="s">
        <v>332</v>
      </c>
      <c r="I889" s="18" t="s">
        <v>1387</v>
      </c>
    </row>
    <row r="890" spans="2:9" hidden="1" x14ac:dyDescent="0.25">
      <c r="B890" s="17">
        <v>4</v>
      </c>
      <c r="C890" s="17" t="s">
        <v>1388</v>
      </c>
      <c r="D890" s="17" t="s">
        <v>30</v>
      </c>
      <c r="E890" s="18" t="s">
        <v>2760</v>
      </c>
      <c r="F890" s="17"/>
      <c r="G890" s="17"/>
      <c r="H890" s="17"/>
      <c r="I890" s="18" t="s">
        <v>1389</v>
      </c>
    </row>
    <row r="891" spans="2:9" hidden="1" x14ac:dyDescent="0.25">
      <c r="B891" s="17">
        <v>5</v>
      </c>
      <c r="C891" s="17" t="s">
        <v>1390</v>
      </c>
      <c r="D891" s="17" t="s">
        <v>40</v>
      </c>
      <c r="E891" s="18" t="s">
        <v>2761</v>
      </c>
      <c r="F891" s="17"/>
      <c r="G891" s="17"/>
      <c r="H891" s="17"/>
      <c r="I891" s="18" t="s">
        <v>1391</v>
      </c>
    </row>
    <row r="892" spans="2:9" hidden="1" x14ac:dyDescent="0.25">
      <c r="B892" s="17">
        <v>5</v>
      </c>
      <c r="C892" s="17" t="s">
        <v>1392</v>
      </c>
      <c r="D892" s="17" t="s">
        <v>30</v>
      </c>
      <c r="E892" s="18" t="s">
        <v>2762</v>
      </c>
      <c r="F892" s="17"/>
      <c r="G892" s="17"/>
      <c r="H892" s="17"/>
      <c r="I892" s="18" t="s">
        <v>1393</v>
      </c>
    </row>
    <row r="893" spans="2:9" hidden="1" x14ac:dyDescent="0.25">
      <c r="B893" s="17">
        <v>5</v>
      </c>
      <c r="C893" s="17" t="s">
        <v>1394</v>
      </c>
      <c r="D893" s="17" t="s">
        <v>40</v>
      </c>
      <c r="E893" s="18" t="s">
        <v>2763</v>
      </c>
      <c r="F893" s="17"/>
      <c r="G893" s="17"/>
      <c r="H893" s="17"/>
      <c r="I893" s="18" t="s">
        <v>1365</v>
      </c>
    </row>
    <row r="894" spans="2:9" hidden="1" x14ac:dyDescent="0.25">
      <c r="B894" s="17">
        <v>5</v>
      </c>
      <c r="C894" s="17" t="s">
        <v>1395</v>
      </c>
      <c r="D894" s="17" t="s">
        <v>30</v>
      </c>
      <c r="E894" s="18" t="s">
        <v>2764</v>
      </c>
      <c r="F894" s="17"/>
      <c r="G894" s="17"/>
      <c r="H894" s="17"/>
      <c r="I894" s="18" t="s">
        <v>1396</v>
      </c>
    </row>
    <row r="895" spans="2:9" hidden="1" x14ac:dyDescent="0.25">
      <c r="B895" s="17">
        <v>4</v>
      </c>
      <c r="C895" s="17" t="s">
        <v>1397</v>
      </c>
      <c r="D895" s="17" t="s">
        <v>30</v>
      </c>
      <c r="E895" s="18" t="s">
        <v>2765</v>
      </c>
      <c r="F895" s="17"/>
      <c r="G895" s="17"/>
      <c r="H895" s="17"/>
      <c r="I895" s="18" t="s">
        <v>1398</v>
      </c>
    </row>
    <row r="896" spans="2:9" hidden="1" x14ac:dyDescent="0.25">
      <c r="B896" s="17">
        <v>5</v>
      </c>
      <c r="C896" s="17" t="s">
        <v>1399</v>
      </c>
      <c r="D896" s="17" t="s">
        <v>30</v>
      </c>
      <c r="E896" s="18" t="s">
        <v>2766</v>
      </c>
      <c r="F896" s="17"/>
      <c r="G896" s="17"/>
      <c r="H896" s="17"/>
      <c r="I896" s="18" t="s">
        <v>412</v>
      </c>
    </row>
    <row r="897" spans="2:9" hidden="1" x14ac:dyDescent="0.25">
      <c r="B897" s="17">
        <v>5</v>
      </c>
      <c r="C897" s="17" t="s">
        <v>1400</v>
      </c>
      <c r="D897" s="17" t="s">
        <v>30</v>
      </c>
      <c r="E897" s="18" t="s">
        <v>2767</v>
      </c>
      <c r="F897" s="17"/>
      <c r="G897" s="17"/>
      <c r="H897" s="17"/>
      <c r="I897" s="18" t="s">
        <v>1401</v>
      </c>
    </row>
    <row r="898" spans="2:9" hidden="1" x14ac:dyDescent="0.25">
      <c r="B898" s="17">
        <v>5</v>
      </c>
      <c r="C898" s="17" t="s">
        <v>1402</v>
      </c>
      <c r="D898" s="17" t="s">
        <v>30</v>
      </c>
      <c r="E898" s="18" t="s">
        <v>2768</v>
      </c>
      <c r="F898" s="17"/>
      <c r="G898" s="17"/>
      <c r="H898" s="17"/>
      <c r="I898" s="18" t="s">
        <v>1403</v>
      </c>
    </row>
    <row r="899" spans="2:9" hidden="1" x14ac:dyDescent="0.25">
      <c r="B899" s="17">
        <v>4</v>
      </c>
      <c r="C899" s="17" t="s">
        <v>1404</v>
      </c>
      <c r="D899" s="17" t="s">
        <v>30</v>
      </c>
      <c r="E899" s="18" t="s">
        <v>2769</v>
      </c>
      <c r="F899" s="17"/>
      <c r="G899" s="17"/>
      <c r="H899" s="17"/>
      <c r="I899" s="18" t="s">
        <v>1405</v>
      </c>
    </row>
    <row r="900" spans="2:9" hidden="1" x14ac:dyDescent="0.25">
      <c r="B900" s="17">
        <v>4</v>
      </c>
      <c r="C900" s="17" t="s">
        <v>1406</v>
      </c>
      <c r="D900" s="17" t="s">
        <v>30</v>
      </c>
      <c r="E900" s="18" t="s">
        <v>2770</v>
      </c>
      <c r="F900" s="17"/>
      <c r="G900" s="17"/>
      <c r="H900" s="17"/>
      <c r="I900" s="18" t="s">
        <v>1407</v>
      </c>
    </row>
    <row r="901" spans="2:9" hidden="1" x14ac:dyDescent="0.25">
      <c r="B901" s="17">
        <v>4</v>
      </c>
      <c r="C901" s="17" t="s">
        <v>1030</v>
      </c>
      <c r="D901" s="17" t="s">
        <v>40</v>
      </c>
      <c r="E901" s="18" t="s">
        <v>2504</v>
      </c>
      <c r="F901" s="17"/>
      <c r="G901" s="17"/>
      <c r="H901" s="17"/>
      <c r="I901" s="18" t="s">
        <v>1031</v>
      </c>
    </row>
    <row r="902" spans="2:9" hidden="1" x14ac:dyDescent="0.25">
      <c r="B902" s="17">
        <v>4</v>
      </c>
      <c r="C902" s="17" t="s">
        <v>1408</v>
      </c>
      <c r="D902" s="17" t="s">
        <v>30</v>
      </c>
      <c r="E902" s="18" t="s">
        <v>2771</v>
      </c>
      <c r="F902" s="17"/>
      <c r="G902" s="17"/>
      <c r="H902" s="17"/>
      <c r="I902" s="18" t="s">
        <v>1409</v>
      </c>
    </row>
    <row r="903" spans="2:9" hidden="1" x14ac:dyDescent="0.25">
      <c r="B903" s="17">
        <v>5</v>
      </c>
      <c r="C903" s="17" t="s">
        <v>888</v>
      </c>
      <c r="D903" s="17" t="s">
        <v>30</v>
      </c>
      <c r="E903" s="18" t="s">
        <v>2414</v>
      </c>
      <c r="F903" s="17"/>
      <c r="G903" s="17"/>
      <c r="H903" s="17"/>
      <c r="I903" s="18" t="s">
        <v>889</v>
      </c>
    </row>
    <row r="904" spans="2:9" hidden="1" x14ac:dyDescent="0.25">
      <c r="B904" s="17">
        <v>5</v>
      </c>
      <c r="C904" s="17" t="s">
        <v>1410</v>
      </c>
      <c r="D904" s="17" t="s">
        <v>30</v>
      </c>
      <c r="E904" s="18" t="s">
        <v>2772</v>
      </c>
      <c r="F904" s="17"/>
      <c r="G904" s="17"/>
      <c r="H904" s="17"/>
      <c r="I904" s="18" t="s">
        <v>1411</v>
      </c>
    </row>
    <row r="905" spans="2:9" hidden="1" x14ac:dyDescent="0.25">
      <c r="B905" s="17">
        <v>5</v>
      </c>
      <c r="C905" s="17" t="s">
        <v>1402</v>
      </c>
      <c r="D905" s="17" t="s">
        <v>30</v>
      </c>
      <c r="E905" s="18" t="s">
        <v>2768</v>
      </c>
      <c r="F905" s="17"/>
      <c r="G905" s="17"/>
      <c r="H905" s="17"/>
      <c r="I905" s="18" t="s">
        <v>1403</v>
      </c>
    </row>
    <row r="906" spans="2:9" x14ac:dyDescent="0.25">
      <c r="B906" s="17">
        <v>4</v>
      </c>
      <c r="C906" s="17" t="s">
        <v>1412</v>
      </c>
      <c r="D906" s="17" t="s">
        <v>30</v>
      </c>
      <c r="E906" s="18" t="s">
        <v>2773</v>
      </c>
      <c r="F906" s="17" t="s">
        <v>394</v>
      </c>
      <c r="G906" s="17" t="s">
        <v>394</v>
      </c>
      <c r="H906" s="17" t="s">
        <v>46</v>
      </c>
      <c r="I906" s="18" t="s">
        <v>1413</v>
      </c>
    </row>
    <row r="907" spans="2:9" hidden="1" x14ac:dyDescent="0.25">
      <c r="B907" s="17">
        <v>5</v>
      </c>
      <c r="C907" s="17" t="s">
        <v>1004</v>
      </c>
      <c r="D907" s="17" t="s">
        <v>30</v>
      </c>
      <c r="E907" s="18" t="s">
        <v>2774</v>
      </c>
      <c r="F907" s="17"/>
      <c r="G907" s="17"/>
      <c r="H907" s="17"/>
      <c r="I907" s="18" t="s">
        <v>1005</v>
      </c>
    </row>
    <row r="908" spans="2:9" hidden="1" x14ac:dyDescent="0.25">
      <c r="B908" s="17">
        <v>5</v>
      </c>
      <c r="C908" s="17" t="s">
        <v>1414</v>
      </c>
      <c r="D908" s="17" t="s">
        <v>40</v>
      </c>
      <c r="E908" s="18" t="s">
        <v>2775</v>
      </c>
      <c r="F908" s="17"/>
      <c r="G908" s="17"/>
      <c r="H908" s="17"/>
      <c r="I908" s="18" t="s">
        <v>1415</v>
      </c>
    </row>
    <row r="909" spans="2:9" hidden="1" x14ac:dyDescent="0.25">
      <c r="B909" s="17">
        <v>5</v>
      </c>
      <c r="C909" s="17" t="s">
        <v>1416</v>
      </c>
      <c r="D909" s="17" t="s">
        <v>42</v>
      </c>
      <c r="E909" s="18" t="s">
        <v>2776</v>
      </c>
      <c r="F909" s="17"/>
      <c r="G909" s="17"/>
      <c r="H909" s="17"/>
      <c r="I909" s="18" t="s">
        <v>1417</v>
      </c>
    </row>
    <row r="910" spans="2:9" hidden="1" x14ac:dyDescent="0.25">
      <c r="B910" s="17">
        <v>5</v>
      </c>
      <c r="C910" s="17" t="s">
        <v>1418</v>
      </c>
      <c r="D910" s="17" t="s">
        <v>30</v>
      </c>
      <c r="E910" s="18" t="s">
        <v>2777</v>
      </c>
      <c r="F910" s="17"/>
      <c r="G910" s="17"/>
      <c r="H910" s="17"/>
      <c r="I910" s="18" t="s">
        <v>1419</v>
      </c>
    </row>
    <row r="911" spans="2:9" hidden="1" x14ac:dyDescent="0.25">
      <c r="B911" s="17">
        <v>5</v>
      </c>
      <c r="C911" s="17" t="s">
        <v>1404</v>
      </c>
      <c r="D911" s="17" t="s">
        <v>30</v>
      </c>
      <c r="E911" s="18" t="s">
        <v>2778</v>
      </c>
      <c r="F911" s="17"/>
      <c r="G911" s="17"/>
      <c r="H911" s="17"/>
      <c r="I911" s="18" t="s">
        <v>1405</v>
      </c>
    </row>
    <row r="912" spans="2:9" hidden="1" x14ac:dyDescent="0.25">
      <c r="B912" s="17">
        <v>5</v>
      </c>
      <c r="C912" s="17" t="s">
        <v>1420</v>
      </c>
      <c r="D912" s="17" t="s">
        <v>30</v>
      </c>
      <c r="E912" s="18" t="s">
        <v>2779</v>
      </c>
      <c r="F912" s="17"/>
      <c r="G912" s="17"/>
      <c r="H912" s="17"/>
      <c r="I912" s="18" t="s">
        <v>1421</v>
      </c>
    </row>
    <row r="913" spans="2:9" hidden="1" x14ac:dyDescent="0.25">
      <c r="B913" s="17">
        <v>6</v>
      </c>
      <c r="C913" s="17" t="s">
        <v>1422</v>
      </c>
      <c r="D913" s="17" t="s">
        <v>30</v>
      </c>
      <c r="E913" s="18" t="s">
        <v>2780</v>
      </c>
      <c r="F913" s="17"/>
      <c r="G913" s="17"/>
      <c r="H913" s="17"/>
      <c r="I913" s="18" t="s">
        <v>1423</v>
      </c>
    </row>
    <row r="914" spans="2:9" hidden="1" x14ac:dyDescent="0.25">
      <c r="B914" s="17">
        <v>6</v>
      </c>
      <c r="C914" s="17" t="s">
        <v>1424</v>
      </c>
      <c r="D914" s="17" t="s">
        <v>30</v>
      </c>
      <c r="E914" s="18" t="s">
        <v>2781</v>
      </c>
      <c r="F914" s="17"/>
      <c r="G914" s="17"/>
      <c r="H914" s="17"/>
      <c r="I914" s="18" t="s">
        <v>1425</v>
      </c>
    </row>
    <row r="915" spans="2:9" hidden="1" x14ac:dyDescent="0.25">
      <c r="B915" s="17">
        <v>6</v>
      </c>
      <c r="C915" s="17" t="s">
        <v>1426</v>
      </c>
      <c r="D915" s="17" t="s">
        <v>42</v>
      </c>
      <c r="E915" s="18" t="s">
        <v>2782</v>
      </c>
      <c r="F915" s="17"/>
      <c r="G915" s="17"/>
      <c r="H915" s="17"/>
      <c r="I915" s="18" t="s">
        <v>1427</v>
      </c>
    </row>
    <row r="916" spans="2:9" hidden="1" x14ac:dyDescent="0.25">
      <c r="B916" s="17">
        <v>6</v>
      </c>
      <c r="C916" s="17" t="s">
        <v>1428</v>
      </c>
      <c r="D916" s="17" t="s">
        <v>30</v>
      </c>
      <c r="E916" s="18" t="s">
        <v>2783</v>
      </c>
      <c r="F916" s="17"/>
      <c r="G916" s="17"/>
      <c r="H916" s="17"/>
      <c r="I916" s="18" t="s">
        <v>1429</v>
      </c>
    </row>
    <row r="917" spans="2:9" hidden="1" x14ac:dyDescent="0.25">
      <c r="B917" s="17">
        <v>7</v>
      </c>
      <c r="C917" s="17" t="s">
        <v>1430</v>
      </c>
      <c r="D917" s="17" t="s">
        <v>30</v>
      </c>
      <c r="E917" s="18" t="s">
        <v>2784</v>
      </c>
      <c r="F917" s="17"/>
      <c r="G917" s="17"/>
      <c r="H917" s="17"/>
      <c r="I917" s="18" t="s">
        <v>1431</v>
      </c>
    </row>
    <row r="918" spans="2:9" hidden="1" x14ac:dyDescent="0.25">
      <c r="B918" s="17">
        <v>7</v>
      </c>
      <c r="C918" s="17" t="s">
        <v>1432</v>
      </c>
      <c r="D918" s="17" t="s">
        <v>40</v>
      </c>
      <c r="E918" s="18" t="s">
        <v>2785</v>
      </c>
      <c r="F918" s="17"/>
      <c r="G918" s="17"/>
      <c r="H918" s="17"/>
      <c r="I918" s="18" t="s">
        <v>1431</v>
      </c>
    </row>
    <row r="919" spans="2:9" hidden="1" x14ac:dyDescent="0.25">
      <c r="B919" s="17">
        <v>7</v>
      </c>
      <c r="C919" s="17" t="s">
        <v>1433</v>
      </c>
      <c r="D919" s="17" t="s">
        <v>30</v>
      </c>
      <c r="E919" s="18" t="s">
        <v>2786</v>
      </c>
      <c r="F919" s="17"/>
      <c r="G919" s="17"/>
      <c r="H919" s="17"/>
      <c r="I919" s="18" t="s">
        <v>143</v>
      </c>
    </row>
    <row r="920" spans="2:9" hidden="1" x14ac:dyDescent="0.25">
      <c r="B920" s="17">
        <v>7</v>
      </c>
      <c r="C920" s="17" t="s">
        <v>144</v>
      </c>
      <c r="D920" s="17" t="s">
        <v>30</v>
      </c>
      <c r="E920" s="18" t="s">
        <v>2787</v>
      </c>
      <c r="F920" s="17"/>
      <c r="G920" s="17"/>
      <c r="H920" s="17"/>
      <c r="I920" s="18" t="s">
        <v>145</v>
      </c>
    </row>
    <row r="921" spans="2:9" hidden="1" x14ac:dyDescent="0.25">
      <c r="B921" s="17">
        <v>6</v>
      </c>
      <c r="C921" s="17" t="s">
        <v>1434</v>
      </c>
      <c r="D921" s="17" t="s">
        <v>30</v>
      </c>
      <c r="E921" s="18" t="s">
        <v>2788</v>
      </c>
      <c r="F921" s="17"/>
      <c r="G921" s="17"/>
      <c r="H921" s="17"/>
      <c r="I921" s="18" t="s">
        <v>1435</v>
      </c>
    </row>
    <row r="922" spans="2:9" hidden="1" x14ac:dyDescent="0.25">
      <c r="B922" s="17">
        <v>7</v>
      </c>
      <c r="C922" s="17" t="s">
        <v>141</v>
      </c>
      <c r="D922" s="17" t="s">
        <v>43</v>
      </c>
      <c r="E922" s="18" t="s">
        <v>2789</v>
      </c>
      <c r="F922" s="17"/>
      <c r="G922" s="17"/>
      <c r="H922" s="17"/>
      <c r="I922" s="18" t="s">
        <v>142</v>
      </c>
    </row>
    <row r="923" spans="2:9" hidden="1" x14ac:dyDescent="0.25">
      <c r="B923" s="17">
        <v>7</v>
      </c>
      <c r="C923" s="17" t="s">
        <v>1436</v>
      </c>
      <c r="D923" s="17" t="s">
        <v>30</v>
      </c>
      <c r="E923" s="18" t="s">
        <v>2790</v>
      </c>
      <c r="F923" s="17"/>
      <c r="G923" s="17"/>
      <c r="H923" s="17"/>
      <c r="I923" s="18" t="s">
        <v>1437</v>
      </c>
    </row>
    <row r="924" spans="2:9" hidden="1" x14ac:dyDescent="0.25">
      <c r="B924" s="17">
        <v>7</v>
      </c>
      <c r="C924" s="17" t="s">
        <v>1438</v>
      </c>
      <c r="D924" s="17" t="s">
        <v>30</v>
      </c>
      <c r="E924" s="18" t="s">
        <v>2791</v>
      </c>
      <c r="F924" s="17"/>
      <c r="G924" s="17"/>
      <c r="H924" s="17"/>
      <c r="I924" s="18" t="s">
        <v>1439</v>
      </c>
    </row>
    <row r="925" spans="2:9" hidden="1" x14ac:dyDescent="0.25">
      <c r="B925" s="17">
        <v>7</v>
      </c>
      <c r="C925" s="17" t="s">
        <v>1433</v>
      </c>
      <c r="D925" s="17" t="s">
        <v>30</v>
      </c>
      <c r="E925" s="18" t="s">
        <v>2786</v>
      </c>
      <c r="F925" s="17"/>
      <c r="G925" s="17"/>
      <c r="H925" s="17"/>
      <c r="I925" s="18" t="s">
        <v>143</v>
      </c>
    </row>
    <row r="926" spans="2:9" hidden="1" x14ac:dyDescent="0.25">
      <c r="B926" s="17">
        <v>7</v>
      </c>
      <c r="C926" s="17" t="s">
        <v>144</v>
      </c>
      <c r="D926" s="17" t="s">
        <v>30</v>
      </c>
      <c r="E926" s="18" t="s">
        <v>2787</v>
      </c>
      <c r="F926" s="17"/>
      <c r="G926" s="17"/>
      <c r="H926" s="17"/>
      <c r="I926" s="18" t="s">
        <v>145</v>
      </c>
    </row>
    <row r="927" spans="2:9" hidden="1" x14ac:dyDescent="0.25">
      <c r="B927" s="17">
        <v>5</v>
      </c>
      <c r="C927" s="17" t="s">
        <v>1440</v>
      </c>
      <c r="D927" s="17" t="s">
        <v>40</v>
      </c>
      <c r="E927" s="18" t="s">
        <v>2792</v>
      </c>
      <c r="F927" s="17"/>
      <c r="G927" s="17"/>
      <c r="H927" s="17"/>
      <c r="I927" s="18" t="s">
        <v>1441</v>
      </c>
    </row>
    <row r="928" spans="2:9" hidden="1" x14ac:dyDescent="0.25">
      <c r="B928" s="17">
        <v>6</v>
      </c>
      <c r="C928" s="17" t="s">
        <v>1442</v>
      </c>
      <c r="D928" s="17" t="s">
        <v>30</v>
      </c>
      <c r="E928" s="18" t="s">
        <v>2793</v>
      </c>
      <c r="F928" s="17"/>
      <c r="G928" s="17"/>
      <c r="H928" s="17"/>
      <c r="I928" s="18" t="s">
        <v>1443</v>
      </c>
    </row>
    <row r="929" spans="2:9" hidden="1" x14ac:dyDescent="0.25">
      <c r="B929" s="17">
        <v>6</v>
      </c>
      <c r="C929" s="17" t="s">
        <v>1444</v>
      </c>
      <c r="D929" s="17" t="s">
        <v>30</v>
      </c>
      <c r="E929" s="18" t="s">
        <v>2794</v>
      </c>
      <c r="F929" s="17"/>
      <c r="G929" s="17"/>
      <c r="H929" s="17"/>
      <c r="I929" s="18" t="s">
        <v>1445</v>
      </c>
    </row>
    <row r="930" spans="2:9" hidden="1" x14ac:dyDescent="0.25">
      <c r="B930" s="17">
        <v>6</v>
      </c>
      <c r="C930" s="17" t="s">
        <v>1446</v>
      </c>
      <c r="D930" s="17" t="s">
        <v>30</v>
      </c>
      <c r="E930" s="18" t="s">
        <v>2795</v>
      </c>
      <c r="F930" s="17"/>
      <c r="G930" s="17"/>
      <c r="H930" s="17"/>
      <c r="I930" s="18" t="s">
        <v>1447</v>
      </c>
    </row>
    <row r="931" spans="2:9" hidden="1" x14ac:dyDescent="0.25">
      <c r="B931" s="17">
        <v>6</v>
      </c>
      <c r="C931" s="17" t="s">
        <v>1448</v>
      </c>
      <c r="D931" s="17" t="s">
        <v>30</v>
      </c>
      <c r="E931" s="18" t="s">
        <v>2796</v>
      </c>
      <c r="F931" s="17"/>
      <c r="G931" s="17"/>
      <c r="H931" s="17"/>
      <c r="I931" s="18" t="s">
        <v>1449</v>
      </c>
    </row>
    <row r="932" spans="2:9" hidden="1" x14ac:dyDescent="0.25">
      <c r="B932" s="17">
        <v>6</v>
      </c>
      <c r="C932" s="17" t="s">
        <v>359</v>
      </c>
      <c r="D932" s="17" t="s">
        <v>30</v>
      </c>
      <c r="E932" s="18" t="s">
        <v>2797</v>
      </c>
      <c r="F932" s="17"/>
      <c r="G932" s="17"/>
      <c r="H932" s="17"/>
      <c r="I932" s="18" t="s">
        <v>360</v>
      </c>
    </row>
    <row r="933" spans="2:9" hidden="1" x14ac:dyDescent="0.25">
      <c r="B933" s="17">
        <v>6</v>
      </c>
      <c r="C933" s="17" t="s">
        <v>1081</v>
      </c>
      <c r="D933" s="17" t="s">
        <v>40</v>
      </c>
      <c r="E933" s="18" t="s">
        <v>2540</v>
      </c>
      <c r="F933" s="17"/>
      <c r="G933" s="17"/>
      <c r="H933" s="17"/>
      <c r="I933" s="18" t="s">
        <v>145</v>
      </c>
    </row>
    <row r="934" spans="2:9" hidden="1" x14ac:dyDescent="0.25">
      <c r="B934" s="17">
        <v>5</v>
      </c>
      <c r="C934" s="17" t="s">
        <v>1450</v>
      </c>
      <c r="D934" s="17" t="s">
        <v>30</v>
      </c>
      <c r="E934" s="18" t="s">
        <v>2798</v>
      </c>
      <c r="F934" s="17"/>
      <c r="G934" s="17"/>
      <c r="H934" s="17"/>
      <c r="I934" s="18" t="s">
        <v>1451</v>
      </c>
    </row>
    <row r="935" spans="2:9" hidden="1" x14ac:dyDescent="0.25">
      <c r="B935" s="17">
        <v>6</v>
      </c>
      <c r="C935" s="17" t="s">
        <v>1452</v>
      </c>
      <c r="D935" s="17" t="s">
        <v>30</v>
      </c>
      <c r="E935" s="18" t="s">
        <v>2799</v>
      </c>
      <c r="F935" s="17"/>
      <c r="G935" s="17"/>
      <c r="H935" s="17"/>
      <c r="I935" s="18" t="s">
        <v>1453</v>
      </c>
    </row>
    <row r="936" spans="2:9" hidden="1" x14ac:dyDescent="0.25">
      <c r="B936" s="17">
        <v>7</v>
      </c>
      <c r="C936" s="17" t="s">
        <v>1091</v>
      </c>
      <c r="D936" s="17" t="s">
        <v>49</v>
      </c>
      <c r="E936" s="18" t="s">
        <v>2800</v>
      </c>
      <c r="F936" s="17"/>
      <c r="G936" s="17"/>
      <c r="H936" s="17"/>
      <c r="I936" s="18" t="s">
        <v>121</v>
      </c>
    </row>
    <row r="937" spans="2:9" hidden="1" x14ac:dyDescent="0.25">
      <c r="B937" s="17">
        <v>7</v>
      </c>
      <c r="C937" s="17" t="s">
        <v>1069</v>
      </c>
      <c r="D937" s="17" t="s">
        <v>49</v>
      </c>
      <c r="E937" s="18" t="s">
        <v>2801</v>
      </c>
      <c r="F937" s="17"/>
      <c r="G937" s="17"/>
      <c r="H937" s="17"/>
      <c r="I937" s="18" t="s">
        <v>123</v>
      </c>
    </row>
    <row r="938" spans="2:9" hidden="1" x14ac:dyDescent="0.25">
      <c r="B938" s="17">
        <v>7</v>
      </c>
      <c r="C938" s="17" t="s">
        <v>1454</v>
      </c>
      <c r="D938" s="17" t="s">
        <v>30</v>
      </c>
      <c r="E938" s="18" t="s">
        <v>2802</v>
      </c>
      <c r="F938" s="17"/>
      <c r="G938" s="17"/>
      <c r="H938" s="17"/>
      <c r="I938" s="18" t="s">
        <v>1455</v>
      </c>
    </row>
    <row r="939" spans="2:9" hidden="1" x14ac:dyDescent="0.25">
      <c r="B939" s="17">
        <v>6</v>
      </c>
      <c r="C939" s="17" t="s">
        <v>1456</v>
      </c>
      <c r="D939" s="17" t="s">
        <v>30</v>
      </c>
      <c r="E939" s="18" t="s">
        <v>2803</v>
      </c>
      <c r="F939" s="17"/>
      <c r="G939" s="17"/>
      <c r="H939" s="17"/>
      <c r="I939" s="18" t="s">
        <v>1457</v>
      </c>
    </row>
    <row r="940" spans="2:9" hidden="1" x14ac:dyDescent="0.25">
      <c r="B940" s="17">
        <v>7</v>
      </c>
      <c r="C940" s="17" t="s">
        <v>1091</v>
      </c>
      <c r="D940" s="17" t="s">
        <v>49</v>
      </c>
      <c r="E940" s="18" t="s">
        <v>2800</v>
      </c>
      <c r="F940" s="17"/>
      <c r="G940" s="17"/>
      <c r="H940" s="17"/>
      <c r="I940" s="18" t="s">
        <v>121</v>
      </c>
    </row>
    <row r="941" spans="2:9" hidden="1" x14ac:dyDescent="0.25">
      <c r="B941" s="17">
        <v>7</v>
      </c>
      <c r="C941" s="17" t="s">
        <v>1458</v>
      </c>
      <c r="D941" s="17" t="s">
        <v>30</v>
      </c>
      <c r="E941" s="18" t="s">
        <v>2804</v>
      </c>
      <c r="F941" s="17"/>
      <c r="G941" s="17"/>
      <c r="H941" s="17"/>
      <c r="I941" s="18" t="s">
        <v>1459</v>
      </c>
    </row>
    <row r="942" spans="2:9" hidden="1" x14ac:dyDescent="0.25">
      <c r="B942" s="17">
        <v>5</v>
      </c>
      <c r="C942" s="17" t="s">
        <v>1050</v>
      </c>
      <c r="D942" s="17" t="s">
        <v>30</v>
      </c>
      <c r="E942" s="18" t="s">
        <v>2805</v>
      </c>
      <c r="F942" s="17"/>
      <c r="G942" s="17"/>
      <c r="H942" s="17"/>
      <c r="I942" s="18" t="s">
        <v>1051</v>
      </c>
    </row>
    <row r="943" spans="2:9" hidden="1" x14ac:dyDescent="0.25">
      <c r="B943" s="17">
        <v>5</v>
      </c>
      <c r="C943" s="17" t="s">
        <v>1082</v>
      </c>
      <c r="D943" s="17" t="s">
        <v>30</v>
      </c>
      <c r="E943" s="18" t="s">
        <v>2542</v>
      </c>
      <c r="F943" s="17"/>
      <c r="G943" s="17"/>
      <c r="H943" s="17"/>
      <c r="I943" s="18" t="s">
        <v>816</v>
      </c>
    </row>
    <row r="944" spans="2:9" hidden="1" x14ac:dyDescent="0.25">
      <c r="B944" s="17">
        <v>5</v>
      </c>
      <c r="C944" s="17" t="s">
        <v>815</v>
      </c>
      <c r="D944" s="17" t="s">
        <v>30</v>
      </c>
      <c r="E944" s="18" t="s">
        <v>2806</v>
      </c>
      <c r="F944" s="17"/>
      <c r="G944" s="17"/>
      <c r="H944" s="17"/>
      <c r="I944" s="18" t="s">
        <v>816</v>
      </c>
    </row>
    <row r="945" spans="2:9" hidden="1" x14ac:dyDescent="0.25">
      <c r="B945" s="17">
        <v>5</v>
      </c>
      <c r="C945" s="17" t="s">
        <v>1054</v>
      </c>
      <c r="D945" s="17" t="s">
        <v>30</v>
      </c>
      <c r="E945" s="18" t="s">
        <v>2807</v>
      </c>
      <c r="F945" s="17"/>
      <c r="G945" s="17"/>
      <c r="H945" s="17"/>
      <c r="I945" s="18" t="s">
        <v>1055</v>
      </c>
    </row>
    <row r="946" spans="2:9" hidden="1" x14ac:dyDescent="0.25">
      <c r="B946" s="17">
        <v>5</v>
      </c>
      <c r="C946" s="17" t="s">
        <v>823</v>
      </c>
      <c r="D946" s="17" t="s">
        <v>40</v>
      </c>
      <c r="E946" s="18" t="s">
        <v>2808</v>
      </c>
      <c r="F946" s="17"/>
      <c r="G946" s="17"/>
      <c r="H946" s="17"/>
      <c r="I946" s="18" t="s">
        <v>824</v>
      </c>
    </row>
    <row r="947" spans="2:9" hidden="1" x14ac:dyDescent="0.25">
      <c r="B947" s="17">
        <v>5</v>
      </c>
      <c r="C947" s="17" t="s">
        <v>1460</v>
      </c>
      <c r="D947" s="17" t="s">
        <v>40</v>
      </c>
      <c r="E947" s="18" t="s">
        <v>2809</v>
      </c>
      <c r="F947" s="17"/>
      <c r="G947" s="17"/>
      <c r="H947" s="17"/>
      <c r="I947" s="18" t="s">
        <v>431</v>
      </c>
    </row>
    <row r="948" spans="2:9" hidden="1" x14ac:dyDescent="0.25">
      <c r="B948" s="17">
        <v>5</v>
      </c>
      <c r="C948" s="17" t="s">
        <v>1057</v>
      </c>
      <c r="D948" s="17" t="s">
        <v>40</v>
      </c>
      <c r="E948" s="18" t="s">
        <v>2810</v>
      </c>
      <c r="F948" s="17"/>
      <c r="G948" s="17"/>
      <c r="H948" s="17"/>
      <c r="I948" s="18" t="s">
        <v>431</v>
      </c>
    </row>
    <row r="949" spans="2:9" hidden="1" x14ac:dyDescent="0.25">
      <c r="B949" s="17">
        <v>4</v>
      </c>
      <c r="C949" s="17" t="s">
        <v>1461</v>
      </c>
      <c r="D949" s="17" t="s">
        <v>40</v>
      </c>
      <c r="E949" s="18" t="s">
        <v>2811</v>
      </c>
      <c r="F949" s="17"/>
      <c r="G949" s="17"/>
      <c r="H949" s="17"/>
      <c r="I949" s="18" t="s">
        <v>1462</v>
      </c>
    </row>
    <row r="950" spans="2:9" hidden="1" x14ac:dyDescent="0.25">
      <c r="B950" s="17">
        <v>5</v>
      </c>
      <c r="C950" s="17" t="s">
        <v>1463</v>
      </c>
      <c r="D950" s="17" t="s">
        <v>40</v>
      </c>
      <c r="E950" s="18" t="s">
        <v>2812</v>
      </c>
      <c r="F950" s="17"/>
      <c r="G950" s="17"/>
      <c r="H950" s="17"/>
      <c r="I950" s="18" t="s">
        <v>1464</v>
      </c>
    </row>
    <row r="951" spans="2:9" hidden="1" x14ac:dyDescent="0.25">
      <c r="B951" s="17">
        <v>5</v>
      </c>
      <c r="C951" s="17" t="s">
        <v>47</v>
      </c>
      <c r="D951" s="17" t="s">
        <v>30</v>
      </c>
      <c r="E951" s="18" t="s">
        <v>170</v>
      </c>
      <c r="F951" s="17"/>
      <c r="G951" s="17"/>
      <c r="H951" s="17"/>
      <c r="I951" s="18" t="s">
        <v>48</v>
      </c>
    </row>
    <row r="952" spans="2:9" hidden="1" x14ac:dyDescent="0.25">
      <c r="B952" s="17">
        <v>5</v>
      </c>
      <c r="C952" s="17" t="s">
        <v>1465</v>
      </c>
      <c r="D952" s="17" t="s">
        <v>30</v>
      </c>
      <c r="E952" s="18" t="s">
        <v>2813</v>
      </c>
      <c r="F952" s="17"/>
      <c r="G952" s="17"/>
      <c r="H952" s="17"/>
      <c r="I952" s="18" t="s">
        <v>1466</v>
      </c>
    </row>
    <row r="953" spans="2:9" x14ac:dyDescent="0.25">
      <c r="B953" s="17">
        <v>4</v>
      </c>
      <c r="C953" s="17" t="s">
        <v>1467</v>
      </c>
      <c r="D953" s="17" t="s">
        <v>30</v>
      </c>
      <c r="E953" s="18" t="s">
        <v>2814</v>
      </c>
      <c r="F953" s="17" t="s">
        <v>394</v>
      </c>
      <c r="G953" s="17" t="s">
        <v>394</v>
      </c>
      <c r="H953" s="17" t="s">
        <v>46</v>
      </c>
      <c r="I953" s="18" t="s">
        <v>1468</v>
      </c>
    </row>
    <row r="954" spans="2:9" hidden="1" x14ac:dyDescent="0.25">
      <c r="B954" s="17">
        <v>5</v>
      </c>
      <c r="C954" s="17" t="s">
        <v>1469</v>
      </c>
      <c r="D954" s="17" t="s">
        <v>30</v>
      </c>
      <c r="E954" s="18" t="s">
        <v>2815</v>
      </c>
      <c r="F954" s="17"/>
      <c r="G954" s="17"/>
      <c r="H954" s="17"/>
      <c r="I954" s="18" t="s">
        <v>1470</v>
      </c>
    </row>
    <row r="955" spans="2:9" hidden="1" x14ac:dyDescent="0.25">
      <c r="B955" s="17">
        <v>6</v>
      </c>
      <c r="C955" s="17" t="s">
        <v>1069</v>
      </c>
      <c r="D955" s="17" t="s">
        <v>49</v>
      </c>
      <c r="E955" s="18" t="s">
        <v>2532</v>
      </c>
      <c r="F955" s="17"/>
      <c r="G955" s="17"/>
      <c r="H955" s="17"/>
      <c r="I955" s="18" t="s">
        <v>123</v>
      </c>
    </row>
    <row r="956" spans="2:9" hidden="1" x14ac:dyDescent="0.25">
      <c r="B956" s="17">
        <v>6</v>
      </c>
      <c r="C956" s="17" t="s">
        <v>1471</v>
      </c>
      <c r="D956" s="17" t="s">
        <v>30</v>
      </c>
      <c r="E956" s="18" t="s">
        <v>2816</v>
      </c>
      <c r="F956" s="17"/>
      <c r="G956" s="17"/>
      <c r="H956" s="17"/>
      <c r="I956" s="18" t="s">
        <v>1472</v>
      </c>
    </row>
    <row r="957" spans="2:9" hidden="1" x14ac:dyDescent="0.25">
      <c r="B957" s="17">
        <v>5</v>
      </c>
      <c r="C957" s="17" t="s">
        <v>1473</v>
      </c>
      <c r="D957" s="17" t="s">
        <v>30</v>
      </c>
      <c r="E957" s="18" t="s">
        <v>2817</v>
      </c>
      <c r="F957" s="17"/>
      <c r="G957" s="17"/>
      <c r="H957" s="17"/>
      <c r="I957" s="18" t="s">
        <v>1474</v>
      </c>
    </row>
    <row r="958" spans="2:9" hidden="1" x14ac:dyDescent="0.25">
      <c r="B958" s="17">
        <v>6</v>
      </c>
      <c r="C958" s="17" t="s">
        <v>1069</v>
      </c>
      <c r="D958" s="17" t="s">
        <v>49</v>
      </c>
      <c r="E958" s="18" t="s">
        <v>2532</v>
      </c>
      <c r="F958" s="17"/>
      <c r="G958" s="17"/>
      <c r="H958" s="17"/>
      <c r="I958" s="18" t="s">
        <v>123</v>
      </c>
    </row>
    <row r="959" spans="2:9" hidden="1" x14ac:dyDescent="0.25">
      <c r="B959" s="17">
        <v>6</v>
      </c>
      <c r="C959" s="17" t="s">
        <v>1116</v>
      </c>
      <c r="D959" s="17" t="s">
        <v>49</v>
      </c>
      <c r="E959" s="18" t="s">
        <v>2818</v>
      </c>
      <c r="F959" s="17"/>
      <c r="G959" s="17"/>
      <c r="H959" s="17"/>
      <c r="I959" s="18" t="s">
        <v>127</v>
      </c>
    </row>
    <row r="960" spans="2:9" hidden="1" x14ac:dyDescent="0.25">
      <c r="B960" s="17">
        <v>6</v>
      </c>
      <c r="C960" s="17" t="s">
        <v>1475</v>
      </c>
      <c r="D960" s="17" t="s">
        <v>30</v>
      </c>
      <c r="E960" s="18" t="s">
        <v>2819</v>
      </c>
      <c r="F960" s="17"/>
      <c r="G960" s="17"/>
      <c r="H960" s="17"/>
      <c r="I960" s="18" t="s">
        <v>1476</v>
      </c>
    </row>
    <row r="961" spans="2:9" hidden="1" x14ac:dyDescent="0.25">
      <c r="B961" s="17">
        <v>5</v>
      </c>
      <c r="C961" s="17" t="s">
        <v>1477</v>
      </c>
      <c r="D961" s="17" t="s">
        <v>30</v>
      </c>
      <c r="E961" s="18" t="s">
        <v>2820</v>
      </c>
      <c r="F961" s="17"/>
      <c r="G961" s="17"/>
      <c r="H961" s="17"/>
      <c r="I961" s="18" t="s">
        <v>1478</v>
      </c>
    </row>
    <row r="962" spans="2:9" hidden="1" x14ac:dyDescent="0.25">
      <c r="B962" s="17">
        <v>6</v>
      </c>
      <c r="C962" s="17" t="s">
        <v>1102</v>
      </c>
      <c r="D962" s="17" t="s">
        <v>41</v>
      </c>
      <c r="E962" s="18" t="s">
        <v>2553</v>
      </c>
      <c r="F962" s="17"/>
      <c r="G962" s="17"/>
      <c r="H962" s="17"/>
      <c r="I962" s="18" t="s">
        <v>1103</v>
      </c>
    </row>
    <row r="963" spans="2:9" hidden="1" x14ac:dyDescent="0.25">
      <c r="B963" s="17">
        <v>6</v>
      </c>
      <c r="C963" s="17" t="s">
        <v>1479</v>
      </c>
      <c r="D963" s="17" t="s">
        <v>30</v>
      </c>
      <c r="E963" s="18" t="s">
        <v>2821</v>
      </c>
      <c r="F963" s="17"/>
      <c r="G963" s="17"/>
      <c r="H963" s="17"/>
      <c r="I963" s="18" t="s">
        <v>1480</v>
      </c>
    </row>
    <row r="964" spans="2:9" hidden="1" x14ac:dyDescent="0.25">
      <c r="B964" s="17">
        <v>5</v>
      </c>
      <c r="C964" s="17" t="s">
        <v>1481</v>
      </c>
      <c r="D964" s="17" t="s">
        <v>30</v>
      </c>
      <c r="E964" s="18" t="s">
        <v>2822</v>
      </c>
      <c r="F964" s="17"/>
      <c r="G964" s="17"/>
      <c r="H964" s="17"/>
      <c r="I964" s="18" t="s">
        <v>1482</v>
      </c>
    </row>
    <row r="965" spans="2:9" hidden="1" x14ac:dyDescent="0.25">
      <c r="B965" s="17">
        <v>6</v>
      </c>
      <c r="C965" s="17" t="s">
        <v>1172</v>
      </c>
      <c r="D965" s="17" t="s">
        <v>41</v>
      </c>
      <c r="E965" s="18" t="s">
        <v>2823</v>
      </c>
      <c r="F965" s="17"/>
      <c r="G965" s="17"/>
      <c r="H965" s="17"/>
      <c r="I965" s="18" t="s">
        <v>1173</v>
      </c>
    </row>
    <row r="966" spans="2:9" hidden="1" x14ac:dyDescent="0.25">
      <c r="B966" s="17">
        <v>6</v>
      </c>
      <c r="C966" s="17" t="s">
        <v>1102</v>
      </c>
      <c r="D966" s="17" t="s">
        <v>41</v>
      </c>
      <c r="E966" s="18" t="s">
        <v>2553</v>
      </c>
      <c r="F966" s="17"/>
      <c r="G966" s="17"/>
      <c r="H966" s="17"/>
      <c r="I966" s="18" t="s">
        <v>1103</v>
      </c>
    </row>
    <row r="967" spans="2:9" hidden="1" x14ac:dyDescent="0.25">
      <c r="B967" s="17">
        <v>6</v>
      </c>
      <c r="C967" s="17" t="s">
        <v>1483</v>
      </c>
      <c r="D967" s="17" t="s">
        <v>30</v>
      </c>
      <c r="E967" s="18" t="s">
        <v>2824</v>
      </c>
      <c r="F967" s="17"/>
      <c r="G967" s="17"/>
      <c r="H967" s="17"/>
      <c r="I967" s="18" t="s">
        <v>1484</v>
      </c>
    </row>
    <row r="968" spans="2:9" hidden="1" x14ac:dyDescent="0.25">
      <c r="B968" s="17">
        <v>5</v>
      </c>
      <c r="C968" s="17" t="s">
        <v>1485</v>
      </c>
      <c r="D968" s="17" t="s">
        <v>30</v>
      </c>
      <c r="E968" s="18" t="s">
        <v>2825</v>
      </c>
      <c r="F968" s="17"/>
      <c r="G968" s="17"/>
      <c r="H968" s="17"/>
      <c r="I968" s="18" t="s">
        <v>1486</v>
      </c>
    </row>
    <row r="969" spans="2:9" hidden="1" x14ac:dyDescent="0.25">
      <c r="B969" s="17">
        <v>6</v>
      </c>
      <c r="C969" s="17" t="s">
        <v>1069</v>
      </c>
      <c r="D969" s="17" t="s">
        <v>49</v>
      </c>
      <c r="E969" s="18" t="s">
        <v>2532</v>
      </c>
      <c r="F969" s="17"/>
      <c r="G969" s="17"/>
      <c r="H969" s="17"/>
      <c r="I969" s="18" t="s">
        <v>123</v>
      </c>
    </row>
    <row r="970" spans="2:9" hidden="1" x14ac:dyDescent="0.25">
      <c r="B970" s="17">
        <v>6</v>
      </c>
      <c r="C970" s="17" t="s">
        <v>1116</v>
      </c>
      <c r="D970" s="17" t="s">
        <v>49</v>
      </c>
      <c r="E970" s="18" t="s">
        <v>2818</v>
      </c>
      <c r="F970" s="17"/>
      <c r="G970" s="17"/>
      <c r="H970" s="17"/>
      <c r="I970" s="18" t="s">
        <v>127</v>
      </c>
    </row>
    <row r="971" spans="2:9" hidden="1" x14ac:dyDescent="0.25">
      <c r="B971" s="17">
        <v>6</v>
      </c>
      <c r="C971" s="17" t="s">
        <v>1487</v>
      </c>
      <c r="D971" s="17" t="s">
        <v>30</v>
      </c>
      <c r="E971" s="18" t="s">
        <v>2826</v>
      </c>
      <c r="F971" s="17"/>
      <c r="G971" s="17"/>
      <c r="H971" s="17"/>
      <c r="I971" s="18" t="s">
        <v>1488</v>
      </c>
    </row>
    <row r="972" spans="2:9" hidden="1" x14ac:dyDescent="0.25">
      <c r="B972" s="17">
        <v>5</v>
      </c>
      <c r="C972" s="17" t="s">
        <v>1489</v>
      </c>
      <c r="D972" s="17" t="s">
        <v>30</v>
      </c>
      <c r="E972" s="18" t="s">
        <v>2827</v>
      </c>
      <c r="F972" s="17"/>
      <c r="G972" s="17"/>
      <c r="H972" s="17"/>
      <c r="I972" s="18" t="s">
        <v>1490</v>
      </c>
    </row>
    <row r="973" spans="2:9" hidden="1" x14ac:dyDescent="0.25">
      <c r="B973" s="17">
        <v>4</v>
      </c>
      <c r="C973" s="17" t="s">
        <v>1082</v>
      </c>
      <c r="D973" s="17" t="s">
        <v>30</v>
      </c>
      <c r="E973" s="18" t="s">
        <v>2828</v>
      </c>
      <c r="F973" s="17"/>
      <c r="G973" s="17"/>
      <c r="H973" s="17"/>
      <c r="I973" s="18" t="s">
        <v>816</v>
      </c>
    </row>
    <row r="974" spans="2:9" hidden="1" x14ac:dyDescent="0.25">
      <c r="B974" s="17">
        <v>4</v>
      </c>
      <c r="C974" s="17" t="s">
        <v>1234</v>
      </c>
      <c r="D974" s="17" t="s">
        <v>30</v>
      </c>
      <c r="E974" s="18" t="s">
        <v>2645</v>
      </c>
      <c r="F974" s="17"/>
      <c r="G974" s="17"/>
      <c r="H974" s="17"/>
      <c r="I974" s="18" t="s">
        <v>433</v>
      </c>
    </row>
    <row r="975" spans="2:9" hidden="1" x14ac:dyDescent="0.25">
      <c r="B975" s="17">
        <v>4</v>
      </c>
      <c r="C975" s="17" t="s">
        <v>1491</v>
      </c>
      <c r="D975" s="17" t="s">
        <v>40</v>
      </c>
      <c r="E975" s="18" t="s">
        <v>2829</v>
      </c>
      <c r="F975" s="17"/>
      <c r="G975" s="17"/>
      <c r="H975" s="17"/>
      <c r="I975" s="18" t="s">
        <v>433</v>
      </c>
    </row>
    <row r="976" spans="2:9" hidden="1" x14ac:dyDescent="0.25">
      <c r="B976" s="17">
        <v>4</v>
      </c>
      <c r="C976" s="17" t="s">
        <v>55</v>
      </c>
      <c r="D976" s="17" t="s">
        <v>40</v>
      </c>
      <c r="E976" s="18" t="s">
        <v>2109</v>
      </c>
      <c r="F976" s="17"/>
      <c r="G976" s="17"/>
      <c r="H976" s="17"/>
      <c r="I976" s="18" t="s">
        <v>56</v>
      </c>
    </row>
    <row r="977" spans="2:9" hidden="1" x14ac:dyDescent="0.25">
      <c r="B977" s="17">
        <v>4</v>
      </c>
      <c r="C977" s="17" t="s">
        <v>1492</v>
      </c>
      <c r="D977" s="17" t="s">
        <v>42</v>
      </c>
      <c r="E977" s="18" t="s">
        <v>2830</v>
      </c>
      <c r="F977" s="17"/>
      <c r="G977" s="17"/>
      <c r="H977" s="17"/>
      <c r="I977" s="18" t="s">
        <v>430</v>
      </c>
    </row>
    <row r="978" spans="2:9" hidden="1" x14ac:dyDescent="0.25">
      <c r="B978" s="17">
        <v>4</v>
      </c>
      <c r="C978" s="17" t="s">
        <v>823</v>
      </c>
      <c r="D978" s="17" t="s">
        <v>40</v>
      </c>
      <c r="E978" s="18" t="s">
        <v>2379</v>
      </c>
      <c r="F978" s="17"/>
      <c r="G978" s="17"/>
      <c r="H978" s="17"/>
      <c r="I978" s="18" t="s">
        <v>824</v>
      </c>
    </row>
    <row r="979" spans="2:9" hidden="1" x14ac:dyDescent="0.25">
      <c r="B979" s="17">
        <v>4</v>
      </c>
      <c r="C979" s="17" t="s">
        <v>1493</v>
      </c>
      <c r="D979" s="17" t="s">
        <v>30</v>
      </c>
      <c r="E979" s="18" t="s">
        <v>2831</v>
      </c>
      <c r="F979" s="17"/>
      <c r="G979" s="17"/>
      <c r="H979" s="17"/>
      <c r="I979" s="18" t="s">
        <v>830</v>
      </c>
    </row>
    <row r="980" spans="2:9" hidden="1" x14ac:dyDescent="0.25">
      <c r="B980" s="17">
        <v>4</v>
      </c>
      <c r="C980" s="17" t="s">
        <v>1494</v>
      </c>
      <c r="D980" s="17" t="s">
        <v>30</v>
      </c>
      <c r="E980" s="18" t="s">
        <v>2832</v>
      </c>
      <c r="F980" s="17"/>
      <c r="G980" s="17"/>
      <c r="H980" s="17"/>
      <c r="I980" s="18" t="s">
        <v>1495</v>
      </c>
    </row>
    <row r="981" spans="2:9" hidden="1" x14ac:dyDescent="0.25">
      <c r="B981" s="17">
        <v>4</v>
      </c>
      <c r="C981" s="17" t="s">
        <v>1062</v>
      </c>
      <c r="D981" s="17" t="s">
        <v>40</v>
      </c>
      <c r="E981" s="18" t="s">
        <v>2528</v>
      </c>
      <c r="F981" s="17"/>
      <c r="G981" s="17"/>
      <c r="H981" s="17"/>
      <c r="I981" s="18" t="s">
        <v>1063</v>
      </c>
    </row>
    <row r="982" spans="2:9" hidden="1" x14ac:dyDescent="0.25">
      <c r="B982" s="17">
        <v>3</v>
      </c>
      <c r="C982" s="17" t="s">
        <v>1496</v>
      </c>
      <c r="D982" s="17" t="s">
        <v>30</v>
      </c>
      <c r="E982" s="18" t="s">
        <v>2833</v>
      </c>
      <c r="F982" s="17"/>
      <c r="G982" s="17"/>
      <c r="H982" s="17"/>
      <c r="I982" s="18" t="s">
        <v>1497</v>
      </c>
    </row>
    <row r="983" spans="2:9" hidden="1" x14ac:dyDescent="0.25">
      <c r="B983" s="17">
        <v>4</v>
      </c>
      <c r="C983" s="17" t="s">
        <v>63</v>
      </c>
      <c r="D983" s="17" t="s">
        <v>40</v>
      </c>
      <c r="E983" s="18" t="s">
        <v>2834</v>
      </c>
      <c r="F983" s="17"/>
      <c r="G983" s="17"/>
      <c r="H983" s="17"/>
      <c r="I983" s="18" t="s">
        <v>64</v>
      </c>
    </row>
    <row r="984" spans="2:9" hidden="1" x14ac:dyDescent="0.25">
      <c r="B984" s="17">
        <v>4</v>
      </c>
      <c r="C984" s="17" t="s">
        <v>65</v>
      </c>
      <c r="D984" s="17" t="s">
        <v>66</v>
      </c>
      <c r="E984" s="18" t="s">
        <v>2835</v>
      </c>
      <c r="F984" s="17"/>
      <c r="G984" s="17"/>
      <c r="H984" s="17"/>
      <c r="I984" s="18" t="s">
        <v>53</v>
      </c>
    </row>
    <row r="985" spans="2:9" hidden="1" x14ac:dyDescent="0.25">
      <c r="B985" s="17">
        <v>4</v>
      </c>
      <c r="C985" s="17" t="s">
        <v>1498</v>
      </c>
      <c r="D985" s="17" t="s">
        <v>30</v>
      </c>
      <c r="E985" s="18" t="s">
        <v>2836</v>
      </c>
      <c r="F985" s="17"/>
      <c r="G985" s="17"/>
      <c r="H985" s="17"/>
      <c r="I985" s="18" t="s">
        <v>1389</v>
      </c>
    </row>
    <row r="986" spans="2:9" hidden="1" x14ac:dyDescent="0.25">
      <c r="B986" s="17">
        <v>5</v>
      </c>
      <c r="C986" s="17" t="s">
        <v>1390</v>
      </c>
      <c r="D986" s="17" t="s">
        <v>40</v>
      </c>
      <c r="E986" s="18" t="s">
        <v>2761</v>
      </c>
      <c r="F986" s="17"/>
      <c r="G986" s="17"/>
      <c r="H986" s="17"/>
      <c r="I986" s="18" t="s">
        <v>1391</v>
      </c>
    </row>
    <row r="987" spans="2:9" hidden="1" x14ac:dyDescent="0.25">
      <c r="B987" s="17">
        <v>5</v>
      </c>
      <c r="C987" s="17" t="s">
        <v>1499</v>
      </c>
      <c r="D987" s="17" t="s">
        <v>30</v>
      </c>
      <c r="E987" s="18" t="s">
        <v>2837</v>
      </c>
      <c r="F987" s="17"/>
      <c r="G987" s="17"/>
      <c r="H987" s="17"/>
      <c r="I987" s="18" t="s">
        <v>1393</v>
      </c>
    </row>
    <row r="988" spans="2:9" hidden="1" x14ac:dyDescent="0.25">
      <c r="B988" s="17">
        <v>5</v>
      </c>
      <c r="C988" s="17" t="s">
        <v>1394</v>
      </c>
      <c r="D988" s="17" t="s">
        <v>40</v>
      </c>
      <c r="E988" s="18" t="s">
        <v>2763</v>
      </c>
      <c r="F988" s="17"/>
      <c r="G988" s="17"/>
      <c r="H988" s="17"/>
      <c r="I988" s="18" t="s">
        <v>1365</v>
      </c>
    </row>
    <row r="989" spans="2:9" hidden="1" x14ac:dyDescent="0.25">
      <c r="B989" s="17">
        <v>5</v>
      </c>
      <c r="C989" s="17" t="s">
        <v>1395</v>
      </c>
      <c r="D989" s="17" t="s">
        <v>30</v>
      </c>
      <c r="E989" s="18" t="s">
        <v>2764</v>
      </c>
      <c r="F989" s="17"/>
      <c r="G989" s="17"/>
      <c r="H989" s="17"/>
      <c r="I989" s="18" t="s">
        <v>1396</v>
      </c>
    </row>
    <row r="990" spans="2:9" hidden="1" x14ac:dyDescent="0.25">
      <c r="B990" s="17">
        <v>4</v>
      </c>
      <c r="C990" s="17" t="s">
        <v>1500</v>
      </c>
      <c r="D990" s="17" t="s">
        <v>40</v>
      </c>
      <c r="E990" s="18" t="s">
        <v>2838</v>
      </c>
      <c r="F990" s="17"/>
      <c r="G990" s="17"/>
      <c r="H990" s="17"/>
      <c r="I990" s="18" t="s">
        <v>1501</v>
      </c>
    </row>
    <row r="991" spans="2:9" hidden="1" x14ac:dyDescent="0.25">
      <c r="B991" s="17">
        <v>4</v>
      </c>
      <c r="C991" s="17" t="s">
        <v>1502</v>
      </c>
      <c r="D991" s="17" t="s">
        <v>30</v>
      </c>
      <c r="E991" s="18" t="s">
        <v>2839</v>
      </c>
      <c r="F991" s="17"/>
      <c r="G991" s="17"/>
      <c r="H991" s="17"/>
      <c r="I991" s="18" t="s">
        <v>1503</v>
      </c>
    </row>
    <row r="992" spans="2:9" hidden="1" x14ac:dyDescent="0.25">
      <c r="B992" s="17">
        <v>5</v>
      </c>
      <c r="C992" s="17" t="s">
        <v>1504</v>
      </c>
      <c r="D992" s="17" t="s">
        <v>30</v>
      </c>
      <c r="E992" s="18" t="s">
        <v>2840</v>
      </c>
      <c r="F992" s="17"/>
      <c r="G992" s="17"/>
      <c r="H992" s="17"/>
      <c r="I992" s="18" t="s">
        <v>1505</v>
      </c>
    </row>
    <row r="993" spans="2:9" hidden="1" x14ac:dyDescent="0.25">
      <c r="B993" s="17">
        <v>5</v>
      </c>
      <c r="C993" s="17" t="s">
        <v>1506</v>
      </c>
      <c r="D993" s="17" t="s">
        <v>30</v>
      </c>
      <c r="E993" s="18" t="s">
        <v>2841</v>
      </c>
      <c r="F993" s="17"/>
      <c r="G993" s="17"/>
      <c r="H993" s="17"/>
      <c r="I993" s="18" t="s">
        <v>1507</v>
      </c>
    </row>
    <row r="994" spans="2:9" hidden="1" x14ac:dyDescent="0.25">
      <c r="B994" s="17">
        <v>4</v>
      </c>
      <c r="C994" s="17" t="s">
        <v>1508</v>
      </c>
      <c r="D994" s="17" t="s">
        <v>43</v>
      </c>
      <c r="E994" s="18" t="s">
        <v>2842</v>
      </c>
      <c r="F994" s="17"/>
      <c r="G994" s="17"/>
      <c r="H994" s="17"/>
      <c r="I994" s="18" t="s">
        <v>1509</v>
      </c>
    </row>
    <row r="995" spans="2:9" hidden="1" x14ac:dyDescent="0.25">
      <c r="B995" s="17">
        <v>5</v>
      </c>
      <c r="C995" s="17" t="s">
        <v>1510</v>
      </c>
      <c r="D995" s="17" t="s">
        <v>42</v>
      </c>
      <c r="E995" s="18" t="s">
        <v>2843</v>
      </c>
      <c r="F995" s="17"/>
      <c r="G995" s="17"/>
      <c r="H995" s="17"/>
      <c r="I995" s="18" t="s">
        <v>1511</v>
      </c>
    </row>
    <row r="996" spans="2:9" hidden="1" x14ac:dyDescent="0.25">
      <c r="B996" s="17">
        <v>6</v>
      </c>
      <c r="C996" s="17" t="s">
        <v>1512</v>
      </c>
      <c r="D996" s="17" t="s">
        <v>30</v>
      </c>
      <c r="E996" s="18" t="s">
        <v>2844</v>
      </c>
      <c r="F996" s="17"/>
      <c r="G996" s="17"/>
      <c r="H996" s="17"/>
      <c r="I996" s="18" t="s">
        <v>1513</v>
      </c>
    </row>
    <row r="997" spans="2:9" hidden="1" x14ac:dyDescent="0.25">
      <c r="B997" s="17">
        <v>6</v>
      </c>
      <c r="C997" s="17" t="s">
        <v>1514</v>
      </c>
      <c r="D997" s="17" t="s">
        <v>41</v>
      </c>
      <c r="E997" s="18" t="s">
        <v>2845</v>
      </c>
      <c r="F997" s="17"/>
      <c r="G997" s="17"/>
      <c r="H997" s="17"/>
      <c r="I997" s="18" t="s">
        <v>1515</v>
      </c>
    </row>
    <row r="998" spans="2:9" hidden="1" x14ac:dyDescent="0.25">
      <c r="B998" s="17">
        <v>5</v>
      </c>
      <c r="C998" s="17" t="s">
        <v>1516</v>
      </c>
      <c r="D998" s="17" t="s">
        <v>41</v>
      </c>
      <c r="E998" s="18" t="s">
        <v>2846</v>
      </c>
      <c r="F998" s="17"/>
      <c r="G998" s="17"/>
      <c r="H998" s="17"/>
      <c r="I998" s="18" t="s">
        <v>1517</v>
      </c>
    </row>
    <row r="999" spans="2:9" hidden="1" x14ac:dyDescent="0.25">
      <c r="B999" s="17">
        <v>5</v>
      </c>
      <c r="C999" s="17" t="s">
        <v>1518</v>
      </c>
      <c r="D999" s="17" t="s">
        <v>30</v>
      </c>
      <c r="E999" s="18" t="s">
        <v>2847</v>
      </c>
      <c r="F999" s="17"/>
      <c r="G999" s="17"/>
      <c r="H999" s="17"/>
      <c r="I999" s="18" t="s">
        <v>106</v>
      </c>
    </row>
    <row r="1000" spans="2:9" hidden="1" x14ac:dyDescent="0.25">
      <c r="B1000" s="17">
        <v>5</v>
      </c>
      <c r="C1000" s="17" t="s">
        <v>107</v>
      </c>
      <c r="D1000" s="17" t="s">
        <v>40</v>
      </c>
      <c r="E1000" s="18" t="s">
        <v>2101</v>
      </c>
      <c r="F1000" s="17"/>
      <c r="G1000" s="17"/>
      <c r="H1000" s="17"/>
      <c r="I1000" s="18" t="s">
        <v>108</v>
      </c>
    </row>
    <row r="1001" spans="2:9" hidden="1" x14ac:dyDescent="0.25">
      <c r="B1001" s="17">
        <v>5</v>
      </c>
      <c r="C1001" s="17" t="s">
        <v>1519</v>
      </c>
      <c r="D1001" s="17" t="s">
        <v>30</v>
      </c>
      <c r="E1001" s="18" t="s">
        <v>2848</v>
      </c>
      <c r="F1001" s="17"/>
      <c r="G1001" s="17"/>
      <c r="H1001" s="17"/>
      <c r="I1001" s="18" t="s">
        <v>1520</v>
      </c>
    </row>
    <row r="1002" spans="2:9" hidden="1" x14ac:dyDescent="0.25">
      <c r="B1002" s="17">
        <v>4</v>
      </c>
      <c r="C1002" s="17" t="s">
        <v>1521</v>
      </c>
      <c r="D1002" s="17" t="s">
        <v>40</v>
      </c>
      <c r="E1002" s="18" t="s">
        <v>2849</v>
      </c>
      <c r="F1002" s="17"/>
      <c r="G1002" s="17"/>
      <c r="H1002" s="17"/>
      <c r="I1002" s="18" t="s">
        <v>1522</v>
      </c>
    </row>
    <row r="1003" spans="2:9" hidden="1" x14ac:dyDescent="0.25">
      <c r="B1003" s="17">
        <v>5</v>
      </c>
      <c r="C1003" s="17" t="s">
        <v>1523</v>
      </c>
      <c r="D1003" s="17" t="s">
        <v>40</v>
      </c>
      <c r="E1003" s="18" t="s">
        <v>2850</v>
      </c>
      <c r="F1003" s="17"/>
      <c r="G1003" s="17"/>
      <c r="H1003" s="17"/>
      <c r="I1003" s="18" t="s">
        <v>1524</v>
      </c>
    </row>
    <row r="1004" spans="2:9" hidden="1" x14ac:dyDescent="0.25">
      <c r="B1004" s="17">
        <v>5</v>
      </c>
      <c r="C1004" s="17" t="s">
        <v>359</v>
      </c>
      <c r="D1004" s="17" t="s">
        <v>30</v>
      </c>
      <c r="E1004" s="18" t="s">
        <v>2193</v>
      </c>
      <c r="F1004" s="17"/>
      <c r="G1004" s="17"/>
      <c r="H1004" s="17"/>
      <c r="I1004" s="18" t="s">
        <v>360</v>
      </c>
    </row>
    <row r="1005" spans="2:9" hidden="1" x14ac:dyDescent="0.25">
      <c r="B1005" s="17">
        <v>5</v>
      </c>
      <c r="C1005" s="17" t="s">
        <v>610</v>
      </c>
      <c r="D1005" s="17" t="s">
        <v>30</v>
      </c>
      <c r="E1005" s="18" t="s">
        <v>2416</v>
      </c>
      <c r="F1005" s="17"/>
      <c r="G1005" s="17"/>
      <c r="H1005" s="17"/>
      <c r="I1005" s="18" t="s">
        <v>611</v>
      </c>
    </row>
    <row r="1006" spans="2:9" hidden="1" x14ac:dyDescent="0.25">
      <c r="B1006" s="17">
        <v>4</v>
      </c>
      <c r="C1006" s="17" t="s">
        <v>1525</v>
      </c>
      <c r="D1006" s="17" t="s">
        <v>30</v>
      </c>
      <c r="E1006" s="18" t="s">
        <v>2851</v>
      </c>
      <c r="F1006" s="17"/>
      <c r="G1006" s="17"/>
      <c r="H1006" s="17"/>
      <c r="I1006" s="18" t="s">
        <v>1526</v>
      </c>
    </row>
    <row r="1007" spans="2:9" hidden="1" x14ac:dyDescent="0.25">
      <c r="B1007" s="17">
        <v>4</v>
      </c>
      <c r="C1007" s="17" t="s">
        <v>1527</v>
      </c>
      <c r="D1007" s="17" t="s">
        <v>42</v>
      </c>
      <c r="E1007" s="18" t="s">
        <v>2852</v>
      </c>
      <c r="F1007" s="17"/>
      <c r="G1007" s="17"/>
      <c r="H1007" s="17"/>
      <c r="I1007" s="18" t="s">
        <v>1501</v>
      </c>
    </row>
    <row r="1008" spans="2:9" hidden="1" x14ac:dyDescent="0.25">
      <c r="B1008" s="17">
        <v>4</v>
      </c>
      <c r="C1008" s="17" t="s">
        <v>1528</v>
      </c>
      <c r="D1008" s="17" t="s">
        <v>30</v>
      </c>
      <c r="E1008" s="18" t="s">
        <v>2853</v>
      </c>
      <c r="F1008" s="17"/>
      <c r="G1008" s="17"/>
      <c r="H1008" s="17"/>
      <c r="I1008" s="18" t="s">
        <v>1529</v>
      </c>
    </row>
    <row r="1009" spans="2:9" hidden="1" x14ac:dyDescent="0.25">
      <c r="B1009" s="17">
        <v>5</v>
      </c>
      <c r="C1009" s="17" t="s">
        <v>1530</v>
      </c>
      <c r="D1009" s="17" t="s">
        <v>30</v>
      </c>
      <c r="E1009" s="18" t="s">
        <v>2854</v>
      </c>
      <c r="F1009" s="17"/>
      <c r="G1009" s="17"/>
      <c r="H1009" s="17"/>
      <c r="I1009" s="18" t="s">
        <v>1531</v>
      </c>
    </row>
    <row r="1010" spans="2:9" hidden="1" x14ac:dyDescent="0.25">
      <c r="B1010" s="17">
        <v>6</v>
      </c>
      <c r="C1010" s="17" t="s">
        <v>1532</v>
      </c>
      <c r="D1010" s="17" t="s">
        <v>30</v>
      </c>
      <c r="E1010" s="18" t="s">
        <v>2855</v>
      </c>
      <c r="F1010" s="17"/>
      <c r="G1010" s="17"/>
      <c r="H1010" s="17"/>
      <c r="I1010" s="18" t="s">
        <v>1533</v>
      </c>
    </row>
    <row r="1011" spans="2:9" hidden="1" x14ac:dyDescent="0.25">
      <c r="B1011" s="17">
        <v>6</v>
      </c>
      <c r="C1011" s="17" t="s">
        <v>1534</v>
      </c>
      <c r="D1011" s="17" t="s">
        <v>30</v>
      </c>
      <c r="E1011" s="18" t="s">
        <v>2856</v>
      </c>
      <c r="F1011" s="17"/>
      <c r="G1011" s="17"/>
      <c r="H1011" s="17"/>
      <c r="I1011" s="18" t="s">
        <v>1535</v>
      </c>
    </row>
    <row r="1012" spans="2:9" hidden="1" x14ac:dyDescent="0.25">
      <c r="B1012" s="17">
        <v>6</v>
      </c>
      <c r="C1012" s="17" t="s">
        <v>1536</v>
      </c>
      <c r="D1012" s="17" t="s">
        <v>30</v>
      </c>
      <c r="E1012" s="18" t="s">
        <v>2857</v>
      </c>
      <c r="F1012" s="17"/>
      <c r="G1012" s="17"/>
      <c r="H1012" s="17"/>
      <c r="I1012" s="18" t="s">
        <v>1537</v>
      </c>
    </row>
    <row r="1013" spans="2:9" hidden="1" x14ac:dyDescent="0.25">
      <c r="B1013" s="17">
        <v>5</v>
      </c>
      <c r="C1013" s="17" t="s">
        <v>1538</v>
      </c>
      <c r="D1013" s="17" t="s">
        <v>30</v>
      </c>
      <c r="E1013" s="18" t="s">
        <v>2858</v>
      </c>
      <c r="F1013" s="17"/>
      <c r="G1013" s="17"/>
      <c r="H1013" s="17"/>
      <c r="I1013" s="18" t="s">
        <v>1539</v>
      </c>
    </row>
    <row r="1014" spans="2:9" hidden="1" x14ac:dyDescent="0.25">
      <c r="B1014" s="17">
        <v>5</v>
      </c>
      <c r="C1014" s="17" t="s">
        <v>1540</v>
      </c>
      <c r="D1014" s="17" t="s">
        <v>30</v>
      </c>
      <c r="E1014" s="18" t="s">
        <v>2859</v>
      </c>
      <c r="F1014" s="17"/>
      <c r="G1014" s="17"/>
      <c r="H1014" s="17"/>
      <c r="I1014" s="18" t="s">
        <v>1541</v>
      </c>
    </row>
    <row r="1015" spans="2:9" hidden="1" x14ac:dyDescent="0.25">
      <c r="B1015" s="17">
        <v>4</v>
      </c>
      <c r="C1015" s="17" t="s">
        <v>1542</v>
      </c>
      <c r="D1015" s="17" t="s">
        <v>30</v>
      </c>
      <c r="E1015" s="18" t="s">
        <v>2860</v>
      </c>
      <c r="F1015" s="17"/>
      <c r="G1015" s="17"/>
      <c r="H1015" s="17"/>
      <c r="I1015" s="18" t="s">
        <v>1543</v>
      </c>
    </row>
    <row r="1016" spans="2:9" hidden="1" x14ac:dyDescent="0.25">
      <c r="B1016" s="17">
        <v>5</v>
      </c>
      <c r="C1016" s="17" t="s">
        <v>692</v>
      </c>
      <c r="D1016" s="17" t="s">
        <v>30</v>
      </c>
      <c r="E1016" s="18" t="s">
        <v>2282</v>
      </c>
      <c r="F1016" s="17"/>
      <c r="G1016" s="17"/>
      <c r="H1016" s="17"/>
      <c r="I1016" s="18" t="s">
        <v>693</v>
      </c>
    </row>
    <row r="1017" spans="2:9" hidden="1" x14ac:dyDescent="0.25">
      <c r="B1017" s="17">
        <v>5</v>
      </c>
      <c r="C1017" s="17" t="s">
        <v>1544</v>
      </c>
      <c r="D1017" s="17" t="s">
        <v>30</v>
      </c>
      <c r="E1017" s="18" t="s">
        <v>2861</v>
      </c>
      <c r="F1017" s="17"/>
      <c r="G1017" s="17"/>
      <c r="H1017" s="17"/>
      <c r="I1017" s="18" t="s">
        <v>1545</v>
      </c>
    </row>
    <row r="1018" spans="2:9" hidden="1" x14ac:dyDescent="0.25">
      <c r="B1018" s="17">
        <v>5</v>
      </c>
      <c r="C1018" s="17" t="s">
        <v>1546</v>
      </c>
      <c r="D1018" s="17" t="s">
        <v>30</v>
      </c>
      <c r="E1018" s="18" t="s">
        <v>2862</v>
      </c>
      <c r="F1018" s="17"/>
      <c r="G1018" s="17"/>
      <c r="H1018" s="17"/>
      <c r="I1018" s="18" t="s">
        <v>1547</v>
      </c>
    </row>
    <row r="1019" spans="2:9" hidden="1" x14ac:dyDescent="0.25">
      <c r="B1019" s="17">
        <v>5</v>
      </c>
      <c r="C1019" s="17" t="s">
        <v>47</v>
      </c>
      <c r="D1019" s="17" t="s">
        <v>30</v>
      </c>
      <c r="E1019" s="18" t="s">
        <v>170</v>
      </c>
      <c r="F1019" s="17"/>
      <c r="G1019" s="17"/>
      <c r="H1019" s="17"/>
      <c r="I1019" s="18" t="s">
        <v>48</v>
      </c>
    </row>
    <row r="1020" spans="2:9" hidden="1" x14ac:dyDescent="0.25">
      <c r="B1020" s="17">
        <v>5</v>
      </c>
      <c r="C1020" s="17" t="s">
        <v>1548</v>
      </c>
      <c r="D1020" s="17" t="s">
        <v>30</v>
      </c>
      <c r="E1020" s="18" t="s">
        <v>2863</v>
      </c>
      <c r="F1020" s="17"/>
      <c r="G1020" s="17"/>
      <c r="H1020" s="17"/>
      <c r="I1020" s="18" t="s">
        <v>1549</v>
      </c>
    </row>
    <row r="1021" spans="2:9" hidden="1" x14ac:dyDescent="0.25">
      <c r="B1021" s="17">
        <v>5</v>
      </c>
      <c r="C1021" s="17" t="s">
        <v>1550</v>
      </c>
      <c r="D1021" s="17" t="s">
        <v>40</v>
      </c>
      <c r="E1021" s="18" t="s">
        <v>2864</v>
      </c>
      <c r="F1021" s="17"/>
      <c r="G1021" s="17"/>
      <c r="H1021" s="17"/>
      <c r="I1021" s="18" t="s">
        <v>431</v>
      </c>
    </row>
    <row r="1022" spans="2:9" hidden="1" x14ac:dyDescent="0.25">
      <c r="B1022" s="17">
        <v>4</v>
      </c>
      <c r="C1022" s="17" t="s">
        <v>1551</v>
      </c>
      <c r="D1022" s="17" t="s">
        <v>30</v>
      </c>
      <c r="E1022" s="18" t="s">
        <v>2865</v>
      </c>
      <c r="F1022" s="17"/>
      <c r="G1022" s="17"/>
      <c r="H1022" s="17"/>
      <c r="I1022" s="18" t="s">
        <v>1552</v>
      </c>
    </row>
    <row r="1023" spans="2:9" hidden="1" x14ac:dyDescent="0.25">
      <c r="B1023" s="17">
        <v>4</v>
      </c>
      <c r="C1023" s="17" t="s">
        <v>1553</v>
      </c>
      <c r="D1023" s="17" t="s">
        <v>30</v>
      </c>
      <c r="E1023" s="18" t="s">
        <v>2866</v>
      </c>
      <c r="F1023" s="17"/>
      <c r="G1023" s="17"/>
      <c r="H1023" s="17"/>
      <c r="I1023" s="18" t="s">
        <v>1554</v>
      </c>
    </row>
    <row r="1024" spans="2:9" hidden="1" x14ac:dyDescent="0.25">
      <c r="B1024" s="17">
        <v>4</v>
      </c>
      <c r="C1024" s="17" t="s">
        <v>1555</v>
      </c>
      <c r="D1024" s="17" t="s">
        <v>30</v>
      </c>
      <c r="E1024" s="18" t="s">
        <v>2867</v>
      </c>
      <c r="F1024" s="17"/>
      <c r="G1024" s="17"/>
      <c r="H1024" s="17"/>
      <c r="I1024" s="18" t="s">
        <v>1556</v>
      </c>
    </row>
    <row r="1025" spans="2:9" hidden="1" x14ac:dyDescent="0.25">
      <c r="B1025" s="17">
        <v>5</v>
      </c>
      <c r="C1025" s="17" t="s">
        <v>1557</v>
      </c>
      <c r="D1025" s="17" t="s">
        <v>30</v>
      </c>
      <c r="E1025" s="18" t="s">
        <v>2868</v>
      </c>
      <c r="F1025" s="17"/>
      <c r="G1025" s="17"/>
      <c r="H1025" s="17"/>
      <c r="I1025" s="18" t="s">
        <v>1558</v>
      </c>
    </row>
    <row r="1026" spans="2:9" hidden="1" x14ac:dyDescent="0.25">
      <c r="B1026" s="17">
        <v>5</v>
      </c>
      <c r="C1026" s="17" t="s">
        <v>47</v>
      </c>
      <c r="D1026" s="17" t="s">
        <v>30</v>
      </c>
      <c r="E1026" s="18" t="s">
        <v>170</v>
      </c>
      <c r="F1026" s="17"/>
      <c r="G1026" s="17"/>
      <c r="H1026" s="17"/>
      <c r="I1026" s="18" t="s">
        <v>48</v>
      </c>
    </row>
    <row r="1027" spans="2:9" hidden="1" x14ac:dyDescent="0.25">
      <c r="B1027" s="17">
        <v>5</v>
      </c>
      <c r="C1027" s="17" t="s">
        <v>1559</v>
      </c>
      <c r="D1027" s="17" t="s">
        <v>30</v>
      </c>
      <c r="E1027" s="18" t="s">
        <v>2869</v>
      </c>
      <c r="F1027" s="17"/>
      <c r="G1027" s="17"/>
      <c r="H1027" s="17"/>
      <c r="I1027" s="18" t="s">
        <v>1560</v>
      </c>
    </row>
    <row r="1028" spans="2:9" hidden="1" x14ac:dyDescent="0.25">
      <c r="B1028" s="17">
        <v>4</v>
      </c>
      <c r="C1028" s="17" t="s">
        <v>1561</v>
      </c>
      <c r="D1028" s="17" t="s">
        <v>40</v>
      </c>
      <c r="E1028" s="18" t="s">
        <v>2870</v>
      </c>
      <c r="F1028" s="17"/>
      <c r="G1028" s="17"/>
      <c r="H1028" s="17"/>
      <c r="I1028" s="18" t="s">
        <v>1562</v>
      </c>
    </row>
    <row r="1029" spans="2:9" hidden="1" x14ac:dyDescent="0.25">
      <c r="B1029" s="17">
        <v>5</v>
      </c>
      <c r="C1029" s="17" t="s">
        <v>1563</v>
      </c>
      <c r="D1029" s="17" t="s">
        <v>40</v>
      </c>
      <c r="E1029" s="18" t="s">
        <v>2871</v>
      </c>
      <c r="F1029" s="17"/>
      <c r="G1029" s="17"/>
      <c r="H1029" s="17"/>
      <c r="I1029" s="18" t="s">
        <v>1564</v>
      </c>
    </row>
    <row r="1030" spans="2:9" hidden="1" x14ac:dyDescent="0.25">
      <c r="B1030" s="17">
        <v>6</v>
      </c>
      <c r="C1030" s="17" t="s">
        <v>1565</v>
      </c>
      <c r="D1030" s="17" t="s">
        <v>40</v>
      </c>
      <c r="E1030" s="18" t="s">
        <v>2872</v>
      </c>
      <c r="F1030" s="17"/>
      <c r="G1030" s="17"/>
      <c r="H1030" s="17"/>
      <c r="I1030" s="18" t="s">
        <v>1566</v>
      </c>
    </row>
    <row r="1031" spans="2:9" hidden="1" x14ac:dyDescent="0.25">
      <c r="B1031" s="17">
        <v>6</v>
      </c>
      <c r="C1031" s="17" t="s">
        <v>359</v>
      </c>
      <c r="D1031" s="17" t="s">
        <v>30</v>
      </c>
      <c r="E1031" s="18" t="s">
        <v>2797</v>
      </c>
      <c r="F1031" s="17"/>
      <c r="G1031" s="17"/>
      <c r="H1031" s="17"/>
      <c r="I1031" s="18" t="s">
        <v>360</v>
      </c>
    </row>
    <row r="1032" spans="2:9" hidden="1" x14ac:dyDescent="0.25">
      <c r="B1032" s="17">
        <v>6</v>
      </c>
      <c r="C1032" s="17" t="s">
        <v>1567</v>
      </c>
      <c r="D1032" s="17" t="s">
        <v>30</v>
      </c>
      <c r="E1032" s="18" t="s">
        <v>2873</v>
      </c>
      <c r="F1032" s="17"/>
      <c r="G1032" s="17"/>
      <c r="H1032" s="17"/>
      <c r="I1032" s="18" t="s">
        <v>48</v>
      </c>
    </row>
    <row r="1033" spans="2:9" hidden="1" x14ac:dyDescent="0.25">
      <c r="B1033" s="17">
        <v>6</v>
      </c>
      <c r="C1033" s="17" t="s">
        <v>1568</v>
      </c>
      <c r="D1033" s="17" t="s">
        <v>30</v>
      </c>
      <c r="E1033" s="18" t="s">
        <v>2874</v>
      </c>
      <c r="F1033" s="17"/>
      <c r="G1033" s="17"/>
      <c r="H1033" s="17"/>
      <c r="I1033" s="18" t="s">
        <v>1569</v>
      </c>
    </row>
    <row r="1034" spans="2:9" hidden="1" x14ac:dyDescent="0.25">
      <c r="B1034" s="17">
        <v>5</v>
      </c>
      <c r="C1034" s="17" t="s">
        <v>1570</v>
      </c>
      <c r="D1034" s="17" t="s">
        <v>30</v>
      </c>
      <c r="E1034" s="18" t="s">
        <v>2875</v>
      </c>
      <c r="F1034" s="17"/>
      <c r="G1034" s="17"/>
      <c r="H1034" s="17"/>
      <c r="I1034" s="18" t="s">
        <v>1571</v>
      </c>
    </row>
    <row r="1035" spans="2:9" hidden="1" x14ac:dyDescent="0.25">
      <c r="B1035" s="17">
        <v>6</v>
      </c>
      <c r="C1035" s="17" t="s">
        <v>1572</v>
      </c>
      <c r="D1035" s="17" t="s">
        <v>30</v>
      </c>
      <c r="E1035" s="18" t="s">
        <v>2876</v>
      </c>
      <c r="F1035" s="17"/>
      <c r="G1035" s="17"/>
      <c r="H1035" s="17"/>
      <c r="I1035" s="18" t="s">
        <v>1573</v>
      </c>
    </row>
    <row r="1036" spans="2:9" hidden="1" x14ac:dyDescent="0.25">
      <c r="B1036" s="17">
        <v>6</v>
      </c>
      <c r="C1036" s="17" t="s">
        <v>359</v>
      </c>
      <c r="D1036" s="17" t="s">
        <v>30</v>
      </c>
      <c r="E1036" s="18" t="s">
        <v>2797</v>
      </c>
      <c r="F1036" s="17"/>
      <c r="G1036" s="17"/>
      <c r="H1036" s="17"/>
      <c r="I1036" s="18" t="s">
        <v>360</v>
      </c>
    </row>
    <row r="1037" spans="2:9" hidden="1" x14ac:dyDescent="0.25">
      <c r="B1037" s="17">
        <v>6</v>
      </c>
      <c r="C1037" s="17" t="s">
        <v>1568</v>
      </c>
      <c r="D1037" s="17" t="s">
        <v>30</v>
      </c>
      <c r="E1037" s="18" t="s">
        <v>2874</v>
      </c>
      <c r="F1037" s="17"/>
      <c r="G1037" s="17"/>
      <c r="H1037" s="17"/>
      <c r="I1037" s="18" t="s">
        <v>1569</v>
      </c>
    </row>
    <row r="1038" spans="2:9" hidden="1" x14ac:dyDescent="0.25">
      <c r="B1038" s="17">
        <v>5</v>
      </c>
      <c r="C1038" s="17" t="s">
        <v>1574</v>
      </c>
      <c r="D1038" s="17" t="s">
        <v>30</v>
      </c>
      <c r="E1038" s="18" t="s">
        <v>2877</v>
      </c>
      <c r="F1038" s="17"/>
      <c r="G1038" s="17"/>
      <c r="H1038" s="17"/>
      <c r="I1038" s="18" t="s">
        <v>1575</v>
      </c>
    </row>
    <row r="1039" spans="2:9" hidden="1" x14ac:dyDescent="0.25">
      <c r="B1039" s="17">
        <v>5</v>
      </c>
      <c r="C1039" s="17" t="s">
        <v>1576</v>
      </c>
      <c r="D1039" s="17" t="s">
        <v>30</v>
      </c>
      <c r="E1039" s="18" t="s">
        <v>2878</v>
      </c>
      <c r="F1039" s="17"/>
      <c r="G1039" s="17"/>
      <c r="H1039" s="17"/>
      <c r="I1039" s="18" t="s">
        <v>1577</v>
      </c>
    </row>
    <row r="1040" spans="2:9" hidden="1" x14ac:dyDescent="0.25">
      <c r="B1040" s="17">
        <v>4</v>
      </c>
      <c r="C1040" s="17" t="s">
        <v>1578</v>
      </c>
      <c r="D1040" s="17" t="s">
        <v>40</v>
      </c>
      <c r="E1040" s="18" t="s">
        <v>2879</v>
      </c>
      <c r="F1040" s="17"/>
      <c r="G1040" s="17"/>
      <c r="H1040" s="17"/>
      <c r="I1040" s="18" t="s">
        <v>1579</v>
      </c>
    </row>
    <row r="1041" spans="2:9" hidden="1" x14ac:dyDescent="0.25">
      <c r="B1041" s="17">
        <v>4</v>
      </c>
      <c r="C1041" s="17" t="s">
        <v>1580</v>
      </c>
      <c r="D1041" s="17" t="s">
        <v>30</v>
      </c>
      <c r="E1041" s="18" t="s">
        <v>2880</v>
      </c>
      <c r="F1041" s="17"/>
      <c r="G1041" s="17"/>
      <c r="H1041" s="17"/>
      <c r="I1041" s="18" t="s">
        <v>1051</v>
      </c>
    </row>
    <row r="1042" spans="2:9" hidden="1" x14ac:dyDescent="0.25">
      <c r="B1042" s="17">
        <v>4</v>
      </c>
      <c r="C1042" s="17" t="s">
        <v>1234</v>
      </c>
      <c r="D1042" s="17" t="s">
        <v>30</v>
      </c>
      <c r="E1042" s="18" t="s">
        <v>2645</v>
      </c>
      <c r="F1042" s="17"/>
      <c r="G1042" s="17"/>
      <c r="H1042" s="17"/>
      <c r="I1042" s="18" t="s">
        <v>433</v>
      </c>
    </row>
    <row r="1043" spans="2:9" hidden="1" x14ac:dyDescent="0.25">
      <c r="B1043" s="17">
        <v>4</v>
      </c>
      <c r="C1043" s="17" t="s">
        <v>1235</v>
      </c>
      <c r="D1043" s="17" t="s">
        <v>30</v>
      </c>
      <c r="E1043" s="18" t="s">
        <v>2646</v>
      </c>
      <c r="F1043" s="17"/>
      <c r="G1043" s="17"/>
      <c r="H1043" s="17"/>
      <c r="I1043" s="18" t="s">
        <v>433</v>
      </c>
    </row>
    <row r="1044" spans="2:9" hidden="1" x14ac:dyDescent="0.25">
      <c r="B1044" s="17">
        <v>4</v>
      </c>
      <c r="C1044" s="17" t="s">
        <v>994</v>
      </c>
      <c r="D1044" s="17" t="s">
        <v>30</v>
      </c>
      <c r="E1044" s="18" t="s">
        <v>2483</v>
      </c>
      <c r="F1044" s="17"/>
      <c r="G1044" s="17"/>
      <c r="H1044" s="17"/>
      <c r="I1044" s="18" t="s">
        <v>433</v>
      </c>
    </row>
    <row r="1045" spans="2:9" hidden="1" x14ac:dyDescent="0.25">
      <c r="B1045" s="17">
        <v>4</v>
      </c>
      <c r="C1045" s="17" t="s">
        <v>432</v>
      </c>
      <c r="D1045" s="17" t="s">
        <v>30</v>
      </c>
      <c r="E1045" s="18" t="s">
        <v>2106</v>
      </c>
      <c r="F1045" s="17"/>
      <c r="G1045" s="17"/>
      <c r="H1045" s="17"/>
      <c r="I1045" s="18" t="s">
        <v>433</v>
      </c>
    </row>
    <row r="1046" spans="2:9" hidden="1" x14ac:dyDescent="0.25">
      <c r="B1046" s="17">
        <v>4</v>
      </c>
      <c r="C1046" s="17" t="s">
        <v>1052</v>
      </c>
      <c r="D1046" s="17" t="s">
        <v>30</v>
      </c>
      <c r="E1046" s="18" t="s">
        <v>2519</v>
      </c>
      <c r="F1046" s="17"/>
      <c r="G1046" s="17"/>
      <c r="H1046" s="17"/>
      <c r="I1046" s="18" t="s">
        <v>1053</v>
      </c>
    </row>
    <row r="1047" spans="2:9" hidden="1" x14ac:dyDescent="0.25">
      <c r="B1047" s="17">
        <v>4</v>
      </c>
      <c r="C1047" s="17" t="s">
        <v>105</v>
      </c>
      <c r="D1047" s="17" t="s">
        <v>40</v>
      </c>
      <c r="E1047" s="18" t="s">
        <v>2881</v>
      </c>
      <c r="F1047" s="17"/>
      <c r="G1047" s="17"/>
      <c r="H1047" s="17"/>
      <c r="I1047" s="18" t="s">
        <v>106</v>
      </c>
    </row>
    <row r="1048" spans="2:9" hidden="1" x14ac:dyDescent="0.25">
      <c r="B1048" s="17">
        <v>4</v>
      </c>
      <c r="C1048" s="17" t="s">
        <v>428</v>
      </c>
      <c r="D1048" s="17" t="s">
        <v>30</v>
      </c>
      <c r="E1048" s="18" t="s">
        <v>2107</v>
      </c>
      <c r="F1048" s="17"/>
      <c r="G1048" s="17"/>
      <c r="H1048" s="17"/>
      <c r="I1048" s="18" t="s">
        <v>106</v>
      </c>
    </row>
    <row r="1049" spans="2:9" hidden="1" x14ac:dyDescent="0.25">
      <c r="B1049" s="17">
        <v>4</v>
      </c>
      <c r="C1049" s="17" t="s">
        <v>107</v>
      </c>
      <c r="D1049" s="17" t="s">
        <v>40</v>
      </c>
      <c r="E1049" s="18" t="s">
        <v>2108</v>
      </c>
      <c r="F1049" s="17"/>
      <c r="G1049" s="17"/>
      <c r="H1049" s="17"/>
      <c r="I1049" s="18" t="s">
        <v>108</v>
      </c>
    </row>
    <row r="1050" spans="2:9" hidden="1" x14ac:dyDescent="0.25">
      <c r="B1050" s="17">
        <v>4</v>
      </c>
      <c r="C1050" s="17" t="s">
        <v>1581</v>
      </c>
      <c r="D1050" s="17" t="s">
        <v>30</v>
      </c>
      <c r="E1050" s="18" t="s">
        <v>2882</v>
      </c>
      <c r="F1050" s="17"/>
      <c r="G1050" s="17"/>
      <c r="H1050" s="17"/>
      <c r="I1050" s="18" t="s">
        <v>900</v>
      </c>
    </row>
    <row r="1051" spans="2:9" hidden="1" x14ac:dyDescent="0.25">
      <c r="B1051" s="17">
        <v>4</v>
      </c>
      <c r="C1051" s="17" t="s">
        <v>55</v>
      </c>
      <c r="D1051" s="17" t="s">
        <v>40</v>
      </c>
      <c r="E1051" s="18" t="s">
        <v>2109</v>
      </c>
      <c r="F1051" s="17"/>
      <c r="G1051" s="17"/>
      <c r="H1051" s="17"/>
      <c r="I1051" s="18" t="s">
        <v>56</v>
      </c>
    </row>
    <row r="1052" spans="2:9" hidden="1" x14ac:dyDescent="0.25">
      <c r="B1052" s="17">
        <v>4</v>
      </c>
      <c r="C1052" s="17" t="s">
        <v>1054</v>
      </c>
      <c r="D1052" s="17" t="s">
        <v>30</v>
      </c>
      <c r="E1052" s="18" t="s">
        <v>2520</v>
      </c>
      <c r="F1052" s="17"/>
      <c r="G1052" s="17"/>
      <c r="H1052" s="17"/>
      <c r="I1052" s="18" t="s">
        <v>1055</v>
      </c>
    </row>
    <row r="1053" spans="2:9" hidden="1" x14ac:dyDescent="0.25">
      <c r="B1053" s="17">
        <v>4</v>
      </c>
      <c r="C1053" s="17" t="s">
        <v>823</v>
      </c>
      <c r="D1053" s="17" t="s">
        <v>40</v>
      </c>
      <c r="E1053" s="18" t="s">
        <v>2379</v>
      </c>
      <c r="F1053" s="17"/>
      <c r="G1053" s="17"/>
      <c r="H1053" s="17"/>
      <c r="I1053" s="18" t="s">
        <v>824</v>
      </c>
    </row>
    <row r="1054" spans="2:9" hidden="1" x14ac:dyDescent="0.25">
      <c r="B1054" s="17">
        <v>3</v>
      </c>
      <c r="C1054" s="17" t="s">
        <v>1582</v>
      </c>
      <c r="D1054" s="17" t="s">
        <v>30</v>
      </c>
      <c r="E1054" s="18" t="s">
        <v>2883</v>
      </c>
      <c r="F1054" s="17"/>
      <c r="G1054" s="17"/>
      <c r="H1054" s="17"/>
      <c r="I1054" s="18" t="s">
        <v>1583</v>
      </c>
    </row>
    <row r="1055" spans="2:9" hidden="1" x14ac:dyDescent="0.25">
      <c r="B1055" s="17">
        <v>4</v>
      </c>
      <c r="C1055" s="17" t="s">
        <v>413</v>
      </c>
      <c r="D1055" s="17" t="s">
        <v>40</v>
      </c>
      <c r="E1055" s="18" t="s">
        <v>2884</v>
      </c>
      <c r="F1055" s="17"/>
      <c r="G1055" s="17"/>
      <c r="H1055" s="17"/>
      <c r="I1055" s="18" t="s">
        <v>414</v>
      </c>
    </row>
    <row r="1056" spans="2:9" hidden="1" x14ac:dyDescent="0.25">
      <c r="B1056" s="17">
        <v>4</v>
      </c>
      <c r="C1056" s="17" t="s">
        <v>1584</v>
      </c>
      <c r="D1056" s="17" t="s">
        <v>30</v>
      </c>
      <c r="E1056" s="18" t="s">
        <v>2885</v>
      </c>
      <c r="F1056" s="17"/>
      <c r="G1056" s="17"/>
      <c r="H1056" s="17"/>
      <c r="I1056" s="18" t="s">
        <v>111</v>
      </c>
    </row>
    <row r="1057" spans="2:9" hidden="1" x14ac:dyDescent="0.25">
      <c r="B1057" s="17">
        <v>4</v>
      </c>
      <c r="C1057" s="17" t="s">
        <v>1585</v>
      </c>
      <c r="D1057" s="17" t="s">
        <v>30</v>
      </c>
      <c r="E1057" s="18" t="s">
        <v>2886</v>
      </c>
      <c r="F1057" s="17"/>
      <c r="G1057" s="17"/>
      <c r="H1057" s="17"/>
      <c r="I1057" s="18" t="s">
        <v>963</v>
      </c>
    </row>
    <row r="1058" spans="2:9" hidden="1" x14ac:dyDescent="0.25">
      <c r="B1058" s="17">
        <v>4</v>
      </c>
      <c r="C1058" s="17" t="s">
        <v>1586</v>
      </c>
      <c r="D1058" s="17" t="s">
        <v>40</v>
      </c>
      <c r="E1058" s="18" t="s">
        <v>2887</v>
      </c>
      <c r="F1058" s="17"/>
      <c r="G1058" s="17"/>
      <c r="H1058" s="17"/>
      <c r="I1058" s="18" t="s">
        <v>1587</v>
      </c>
    </row>
    <row r="1059" spans="2:9" hidden="1" x14ac:dyDescent="0.25">
      <c r="B1059" s="17">
        <v>5</v>
      </c>
      <c r="C1059" s="17" t="s">
        <v>952</v>
      </c>
      <c r="D1059" s="17" t="s">
        <v>30</v>
      </c>
      <c r="E1059" s="18" t="s">
        <v>2457</v>
      </c>
      <c r="F1059" s="17"/>
      <c r="G1059" s="17"/>
      <c r="H1059" s="17"/>
      <c r="I1059" s="18" t="s">
        <v>155</v>
      </c>
    </row>
    <row r="1060" spans="2:9" hidden="1" x14ac:dyDescent="0.25">
      <c r="B1060" s="17">
        <v>6</v>
      </c>
      <c r="C1060" s="17" t="s">
        <v>953</v>
      </c>
      <c r="D1060" s="17" t="s">
        <v>30</v>
      </c>
      <c r="E1060" s="18" t="s">
        <v>2458</v>
      </c>
      <c r="F1060" s="17"/>
      <c r="G1060" s="17"/>
      <c r="H1060" s="17"/>
      <c r="I1060" s="18" t="s">
        <v>153</v>
      </c>
    </row>
    <row r="1061" spans="2:9" hidden="1" x14ac:dyDescent="0.25">
      <c r="B1061" s="17">
        <v>6</v>
      </c>
      <c r="C1061" s="17" t="s">
        <v>157</v>
      </c>
      <c r="D1061" s="17" t="s">
        <v>30</v>
      </c>
      <c r="E1061" s="18" t="s">
        <v>2453</v>
      </c>
      <c r="F1061" s="17"/>
      <c r="G1061" s="17"/>
      <c r="H1061" s="17"/>
      <c r="I1061" s="18" t="s">
        <v>158</v>
      </c>
    </row>
    <row r="1062" spans="2:9" hidden="1" x14ac:dyDescent="0.25">
      <c r="B1062" s="17">
        <v>5</v>
      </c>
      <c r="C1062" s="17" t="s">
        <v>154</v>
      </c>
      <c r="D1062" s="17" t="s">
        <v>30</v>
      </c>
      <c r="E1062" s="18" t="s">
        <v>2459</v>
      </c>
      <c r="F1062" s="17"/>
      <c r="G1062" s="17"/>
      <c r="H1062" s="17"/>
      <c r="I1062" s="18" t="s">
        <v>155</v>
      </c>
    </row>
    <row r="1063" spans="2:9" hidden="1" x14ac:dyDescent="0.25">
      <c r="B1063" s="17">
        <v>6</v>
      </c>
      <c r="C1063" s="17" t="s">
        <v>156</v>
      </c>
      <c r="D1063" s="17" t="s">
        <v>30</v>
      </c>
      <c r="E1063" s="18" t="s">
        <v>2460</v>
      </c>
      <c r="F1063" s="17"/>
      <c r="G1063" s="17"/>
      <c r="H1063" s="17"/>
      <c r="I1063" s="18" t="s">
        <v>153</v>
      </c>
    </row>
    <row r="1064" spans="2:9" hidden="1" x14ac:dyDescent="0.25">
      <c r="B1064" s="17">
        <v>6</v>
      </c>
      <c r="C1064" s="17" t="s">
        <v>157</v>
      </c>
      <c r="D1064" s="17" t="s">
        <v>30</v>
      </c>
      <c r="E1064" s="18" t="s">
        <v>2453</v>
      </c>
      <c r="F1064" s="17"/>
      <c r="G1064" s="17"/>
      <c r="H1064" s="17"/>
      <c r="I1064" s="18" t="s">
        <v>158</v>
      </c>
    </row>
    <row r="1065" spans="2:9" hidden="1" x14ac:dyDescent="0.25">
      <c r="B1065" s="17">
        <v>5</v>
      </c>
      <c r="C1065" s="17" t="s">
        <v>55</v>
      </c>
      <c r="D1065" s="17" t="s">
        <v>40</v>
      </c>
      <c r="E1065" s="18" t="s">
        <v>2102</v>
      </c>
      <c r="F1065" s="17"/>
      <c r="G1065" s="17"/>
      <c r="H1065" s="17"/>
      <c r="I1065" s="18" t="s">
        <v>56</v>
      </c>
    </row>
    <row r="1066" spans="2:9" hidden="1" x14ac:dyDescent="0.25">
      <c r="B1066" s="17">
        <v>5</v>
      </c>
      <c r="C1066" s="17" t="s">
        <v>1588</v>
      </c>
      <c r="D1066" s="17" t="s">
        <v>42</v>
      </c>
      <c r="E1066" s="18" t="s">
        <v>2888</v>
      </c>
      <c r="F1066" s="17"/>
      <c r="G1066" s="17"/>
      <c r="H1066" s="17"/>
      <c r="I1066" s="18" t="s">
        <v>955</v>
      </c>
    </row>
    <row r="1067" spans="2:9" hidden="1" x14ac:dyDescent="0.25">
      <c r="B1067" s="17">
        <v>4</v>
      </c>
      <c r="C1067" s="17" t="s">
        <v>994</v>
      </c>
      <c r="D1067" s="17" t="s">
        <v>30</v>
      </c>
      <c r="E1067" s="18" t="s">
        <v>2483</v>
      </c>
      <c r="F1067" s="17"/>
      <c r="G1067" s="17"/>
      <c r="H1067" s="17"/>
      <c r="I1067" s="18" t="s">
        <v>433</v>
      </c>
    </row>
    <row r="1068" spans="2:9" hidden="1" x14ac:dyDescent="0.25">
      <c r="B1068" s="17">
        <v>4</v>
      </c>
      <c r="C1068" s="17" t="s">
        <v>55</v>
      </c>
      <c r="D1068" s="17" t="s">
        <v>40</v>
      </c>
      <c r="E1068" s="18" t="s">
        <v>2109</v>
      </c>
      <c r="F1068" s="17"/>
      <c r="G1068" s="17"/>
      <c r="H1068" s="17"/>
      <c r="I1068" s="18" t="s">
        <v>56</v>
      </c>
    </row>
    <row r="1069" spans="2:9" hidden="1" x14ac:dyDescent="0.25">
      <c r="B1069" s="17">
        <v>4</v>
      </c>
      <c r="C1069" s="17" t="s">
        <v>1385</v>
      </c>
      <c r="D1069" s="17" t="s">
        <v>40</v>
      </c>
      <c r="E1069" s="18" t="s">
        <v>2758</v>
      </c>
      <c r="F1069" s="17"/>
      <c r="G1069" s="17"/>
      <c r="H1069" s="17"/>
      <c r="I1069" s="18" t="s">
        <v>110</v>
      </c>
    </row>
    <row r="1070" spans="2:9" x14ac:dyDescent="0.25">
      <c r="B1070" s="17">
        <v>2</v>
      </c>
      <c r="C1070" s="17" t="s">
        <v>1589</v>
      </c>
      <c r="D1070" s="17" t="s">
        <v>30</v>
      </c>
      <c r="E1070" s="18" t="s">
        <v>2889</v>
      </c>
      <c r="F1070" s="17" t="s">
        <v>1590</v>
      </c>
      <c r="G1070" s="17" t="s">
        <v>332</v>
      </c>
      <c r="H1070" s="17" t="s">
        <v>332</v>
      </c>
      <c r="I1070" s="18" t="s">
        <v>1591</v>
      </c>
    </row>
    <row r="1071" spans="2:9" hidden="1" x14ac:dyDescent="0.25">
      <c r="B1071" s="17">
        <v>3</v>
      </c>
      <c r="C1071" s="17" t="s">
        <v>1592</v>
      </c>
      <c r="D1071" s="17" t="s">
        <v>30</v>
      </c>
      <c r="E1071" s="18" t="s">
        <v>2890</v>
      </c>
      <c r="F1071" s="17"/>
      <c r="G1071" s="17"/>
      <c r="H1071" s="17"/>
      <c r="I1071" s="18" t="s">
        <v>1593</v>
      </c>
    </row>
    <row r="1072" spans="2:9" ht="31.5" x14ac:dyDescent="0.25">
      <c r="B1072" s="17">
        <v>3</v>
      </c>
      <c r="C1072" s="17" t="s">
        <v>1594</v>
      </c>
      <c r="D1072" s="17" t="s">
        <v>30</v>
      </c>
      <c r="E1072" s="18" t="s">
        <v>2891</v>
      </c>
      <c r="F1072" s="17" t="s">
        <v>1595</v>
      </c>
      <c r="G1072" s="19" t="s">
        <v>1596</v>
      </c>
      <c r="H1072" s="19" t="s">
        <v>45</v>
      </c>
      <c r="I1072" s="18" t="s">
        <v>1597</v>
      </c>
    </row>
    <row r="1073" spans="2:9" hidden="1" x14ac:dyDescent="0.25">
      <c r="B1073" s="17">
        <v>4</v>
      </c>
      <c r="C1073" s="17" t="s">
        <v>1598</v>
      </c>
      <c r="D1073" s="17" t="s">
        <v>49</v>
      </c>
      <c r="E1073" s="18" t="s">
        <v>2892</v>
      </c>
      <c r="F1073" s="17"/>
      <c r="G1073" s="17"/>
      <c r="H1073" s="17"/>
      <c r="I1073" s="18" t="s">
        <v>1599</v>
      </c>
    </row>
    <row r="1074" spans="2:9" hidden="1" x14ac:dyDescent="0.25">
      <c r="B1074" s="17">
        <v>4</v>
      </c>
      <c r="C1074" s="17" t="s">
        <v>67</v>
      </c>
      <c r="D1074" s="17" t="s">
        <v>41</v>
      </c>
      <c r="E1074" s="18" t="s">
        <v>2893</v>
      </c>
      <c r="F1074" s="17"/>
      <c r="G1074" s="17"/>
      <c r="H1074" s="17"/>
      <c r="I1074" s="18" t="s">
        <v>68</v>
      </c>
    </row>
    <row r="1075" spans="2:9" hidden="1" x14ac:dyDescent="0.25">
      <c r="B1075" s="17">
        <v>4</v>
      </c>
      <c r="C1075" s="17" t="s">
        <v>1600</v>
      </c>
      <c r="D1075" s="17" t="s">
        <v>44</v>
      </c>
      <c r="E1075" s="18" t="s">
        <v>2894</v>
      </c>
      <c r="F1075" s="17"/>
      <c r="G1075" s="17"/>
      <c r="H1075" s="17"/>
      <c r="I1075" s="18" t="s">
        <v>1601</v>
      </c>
    </row>
    <row r="1076" spans="2:9" hidden="1" x14ac:dyDescent="0.25">
      <c r="B1076" s="17">
        <v>4</v>
      </c>
      <c r="C1076" s="17" t="s">
        <v>1602</v>
      </c>
      <c r="D1076" s="17" t="s">
        <v>43</v>
      </c>
      <c r="E1076" s="18" t="s">
        <v>2895</v>
      </c>
      <c r="F1076" s="17"/>
      <c r="G1076" s="17"/>
      <c r="H1076" s="17"/>
      <c r="I1076" s="18" t="s">
        <v>1603</v>
      </c>
    </row>
    <row r="1077" spans="2:9" hidden="1" x14ac:dyDescent="0.25">
      <c r="B1077" s="17">
        <v>4</v>
      </c>
      <c r="C1077" s="17" t="s">
        <v>69</v>
      </c>
      <c r="D1077" s="17" t="s">
        <v>30</v>
      </c>
      <c r="E1077" s="18" t="s">
        <v>2896</v>
      </c>
      <c r="F1077" s="17"/>
      <c r="G1077" s="17"/>
      <c r="H1077" s="17"/>
      <c r="I1077" s="18" t="s">
        <v>70</v>
      </c>
    </row>
    <row r="1078" spans="2:9" hidden="1" x14ac:dyDescent="0.25">
      <c r="B1078" s="17">
        <v>4</v>
      </c>
      <c r="C1078" s="17" t="s">
        <v>1604</v>
      </c>
      <c r="D1078" s="17" t="s">
        <v>42</v>
      </c>
      <c r="E1078" s="18" t="s">
        <v>2897</v>
      </c>
      <c r="F1078" s="17"/>
      <c r="G1078" s="17"/>
      <c r="H1078" s="17"/>
      <c r="I1078" s="18" t="s">
        <v>1605</v>
      </c>
    </row>
    <row r="1079" spans="2:9" hidden="1" x14ac:dyDescent="0.25">
      <c r="B1079" s="17">
        <v>4</v>
      </c>
      <c r="C1079" s="17" t="s">
        <v>1606</v>
      </c>
      <c r="D1079" s="17" t="s">
        <v>43</v>
      </c>
      <c r="E1079" s="18" t="s">
        <v>2898</v>
      </c>
      <c r="F1079" s="17"/>
      <c r="G1079" s="17"/>
      <c r="H1079" s="17"/>
      <c r="I1079" s="18" t="s">
        <v>1605</v>
      </c>
    </row>
    <row r="1080" spans="2:9" hidden="1" x14ac:dyDescent="0.25">
      <c r="B1080" s="17">
        <v>4</v>
      </c>
      <c r="C1080" s="17" t="s">
        <v>1607</v>
      </c>
      <c r="D1080" s="17" t="s">
        <v>43</v>
      </c>
      <c r="E1080" s="18" t="s">
        <v>2899</v>
      </c>
      <c r="F1080" s="17"/>
      <c r="G1080" s="17"/>
      <c r="H1080" s="17"/>
      <c r="I1080" s="18" t="s">
        <v>1605</v>
      </c>
    </row>
    <row r="1081" spans="2:9" hidden="1" x14ac:dyDescent="0.25">
      <c r="B1081" s="17">
        <v>4</v>
      </c>
      <c r="C1081" s="17" t="s">
        <v>1608</v>
      </c>
      <c r="D1081" s="17" t="s">
        <v>30</v>
      </c>
      <c r="E1081" s="18" t="s">
        <v>2900</v>
      </c>
      <c r="F1081" s="17"/>
      <c r="G1081" s="17"/>
      <c r="H1081" s="17"/>
      <c r="I1081" s="18" t="s">
        <v>1609</v>
      </c>
    </row>
    <row r="1082" spans="2:9" hidden="1" x14ac:dyDescent="0.25">
      <c r="B1082" s="17">
        <v>5</v>
      </c>
      <c r="C1082" s="17" t="s">
        <v>1610</v>
      </c>
      <c r="D1082" s="17" t="s">
        <v>30</v>
      </c>
      <c r="E1082" s="18" t="s">
        <v>2901</v>
      </c>
      <c r="F1082" s="17"/>
      <c r="G1082" s="17"/>
      <c r="H1082" s="17"/>
      <c r="I1082" s="18" t="s">
        <v>1609</v>
      </c>
    </row>
    <row r="1083" spans="2:9" hidden="1" x14ac:dyDescent="0.25">
      <c r="B1083" s="17">
        <v>6</v>
      </c>
      <c r="C1083" s="17" t="s">
        <v>1611</v>
      </c>
      <c r="D1083" s="17" t="s">
        <v>44</v>
      </c>
      <c r="E1083" s="18" t="s">
        <v>2902</v>
      </c>
      <c r="F1083" s="17"/>
      <c r="G1083" s="17"/>
      <c r="H1083" s="17"/>
      <c r="I1083" s="18" t="s">
        <v>134</v>
      </c>
    </row>
    <row r="1084" spans="2:9" hidden="1" x14ac:dyDescent="0.25">
      <c r="B1084" s="17">
        <v>6</v>
      </c>
      <c r="C1084" s="17" t="s">
        <v>1612</v>
      </c>
      <c r="D1084" s="17" t="s">
        <v>30</v>
      </c>
      <c r="E1084" s="18" t="s">
        <v>2903</v>
      </c>
      <c r="F1084" s="17"/>
      <c r="G1084" s="17"/>
      <c r="H1084" s="17"/>
      <c r="I1084" s="18" t="s">
        <v>1613</v>
      </c>
    </row>
    <row r="1085" spans="2:9" hidden="1" x14ac:dyDescent="0.25">
      <c r="B1085" s="17">
        <v>5</v>
      </c>
      <c r="C1085" s="17" t="s">
        <v>1614</v>
      </c>
      <c r="D1085" s="17" t="s">
        <v>30</v>
      </c>
      <c r="E1085" s="18" t="s">
        <v>2904</v>
      </c>
      <c r="F1085" s="17"/>
      <c r="G1085" s="17"/>
      <c r="H1085" s="17"/>
      <c r="I1085" s="18" t="s">
        <v>370</v>
      </c>
    </row>
    <row r="1086" spans="2:9" hidden="1" x14ac:dyDescent="0.25">
      <c r="B1086" s="17">
        <v>5</v>
      </c>
      <c r="C1086" s="17" t="s">
        <v>1615</v>
      </c>
      <c r="D1086" s="17" t="s">
        <v>40</v>
      </c>
      <c r="E1086" s="18" t="s">
        <v>2905</v>
      </c>
      <c r="F1086" s="17"/>
      <c r="G1086" s="17"/>
      <c r="H1086" s="17"/>
      <c r="I1086" s="18" t="s">
        <v>135</v>
      </c>
    </row>
    <row r="1087" spans="2:9" hidden="1" x14ac:dyDescent="0.25">
      <c r="B1087" s="17">
        <v>6</v>
      </c>
      <c r="C1087" s="17" t="s">
        <v>485</v>
      </c>
      <c r="D1087" s="17" t="s">
        <v>40</v>
      </c>
      <c r="E1087" s="18" t="s">
        <v>2146</v>
      </c>
      <c r="F1087" s="17"/>
      <c r="G1087" s="17"/>
      <c r="H1087" s="17"/>
      <c r="I1087" s="18" t="s">
        <v>486</v>
      </c>
    </row>
    <row r="1088" spans="2:9" hidden="1" x14ac:dyDescent="0.25">
      <c r="B1088" s="17">
        <v>6</v>
      </c>
      <c r="C1088" s="17" t="s">
        <v>1616</v>
      </c>
      <c r="D1088" s="17" t="s">
        <v>30</v>
      </c>
      <c r="E1088" s="18" t="s">
        <v>2906</v>
      </c>
      <c r="F1088" s="17"/>
      <c r="G1088" s="17"/>
      <c r="H1088" s="17"/>
      <c r="I1088" s="18" t="s">
        <v>159</v>
      </c>
    </row>
    <row r="1089" spans="2:9" hidden="1" x14ac:dyDescent="0.25">
      <c r="B1089" s="17">
        <v>7</v>
      </c>
      <c r="C1089" s="17" t="s">
        <v>1617</v>
      </c>
      <c r="D1089" s="17" t="s">
        <v>42</v>
      </c>
      <c r="E1089" s="18" t="s">
        <v>2907</v>
      </c>
      <c r="F1089" s="17"/>
      <c r="G1089" s="17"/>
      <c r="H1089" s="17"/>
      <c r="I1089" s="18" t="s">
        <v>1618</v>
      </c>
    </row>
    <row r="1090" spans="2:9" hidden="1" x14ac:dyDescent="0.25">
      <c r="B1090" s="17">
        <v>7</v>
      </c>
      <c r="C1090" s="17" t="s">
        <v>1619</v>
      </c>
      <c r="D1090" s="17" t="s">
        <v>30</v>
      </c>
      <c r="E1090" s="18" t="s">
        <v>2908</v>
      </c>
      <c r="F1090" s="17"/>
      <c r="G1090" s="17"/>
      <c r="H1090" s="17"/>
      <c r="I1090" s="18" t="s">
        <v>1620</v>
      </c>
    </row>
    <row r="1091" spans="2:9" hidden="1" x14ac:dyDescent="0.25">
      <c r="B1091" s="17">
        <v>6</v>
      </c>
      <c r="C1091" s="17" t="s">
        <v>1621</v>
      </c>
      <c r="D1091" s="17" t="s">
        <v>30</v>
      </c>
      <c r="E1091" s="18" t="s">
        <v>2909</v>
      </c>
      <c r="F1091" s="17"/>
      <c r="G1091" s="17"/>
      <c r="H1091" s="17"/>
      <c r="I1091" s="18" t="s">
        <v>370</v>
      </c>
    </row>
    <row r="1092" spans="2:9" hidden="1" x14ac:dyDescent="0.25">
      <c r="B1092" s="17">
        <v>6</v>
      </c>
      <c r="C1092" s="17" t="s">
        <v>1622</v>
      </c>
      <c r="D1092" s="17" t="s">
        <v>30</v>
      </c>
      <c r="E1092" s="18" t="s">
        <v>2910</v>
      </c>
      <c r="F1092" s="17"/>
      <c r="G1092" s="17"/>
      <c r="H1092" s="17"/>
      <c r="I1092" s="18" t="s">
        <v>48</v>
      </c>
    </row>
    <row r="1093" spans="2:9" hidden="1" x14ac:dyDescent="0.25">
      <c r="B1093" s="17">
        <v>5</v>
      </c>
      <c r="C1093" s="17" t="s">
        <v>494</v>
      </c>
      <c r="D1093" s="17" t="s">
        <v>30</v>
      </c>
      <c r="E1093" s="18" t="s">
        <v>2152</v>
      </c>
      <c r="F1093" s="17"/>
      <c r="G1093" s="17"/>
      <c r="H1093" s="17"/>
      <c r="I1093" s="18" t="s">
        <v>135</v>
      </c>
    </row>
    <row r="1094" spans="2:9" hidden="1" x14ac:dyDescent="0.25">
      <c r="B1094" s="17">
        <v>6</v>
      </c>
      <c r="C1094" s="17" t="s">
        <v>485</v>
      </c>
      <c r="D1094" s="17" t="s">
        <v>40</v>
      </c>
      <c r="E1094" s="18" t="s">
        <v>2146</v>
      </c>
      <c r="F1094" s="17"/>
      <c r="G1094" s="17"/>
      <c r="H1094" s="17"/>
      <c r="I1094" s="18" t="s">
        <v>486</v>
      </c>
    </row>
    <row r="1095" spans="2:9" hidden="1" x14ac:dyDescent="0.25">
      <c r="B1095" s="17">
        <v>6</v>
      </c>
      <c r="C1095" s="17" t="s">
        <v>495</v>
      </c>
      <c r="D1095" s="17" t="s">
        <v>30</v>
      </c>
      <c r="E1095" s="18" t="s">
        <v>2153</v>
      </c>
      <c r="F1095" s="17"/>
      <c r="G1095" s="17"/>
      <c r="H1095" s="17"/>
      <c r="I1095" s="18" t="s">
        <v>370</v>
      </c>
    </row>
    <row r="1096" spans="2:9" hidden="1" x14ac:dyDescent="0.25">
      <c r="B1096" s="17">
        <v>4</v>
      </c>
      <c r="C1096" s="17" t="s">
        <v>1623</v>
      </c>
      <c r="D1096" s="17" t="s">
        <v>30</v>
      </c>
      <c r="E1096" s="18" t="s">
        <v>2911</v>
      </c>
      <c r="F1096" s="17"/>
      <c r="G1096" s="17"/>
      <c r="H1096" s="17"/>
      <c r="I1096" s="18" t="s">
        <v>1624</v>
      </c>
    </row>
    <row r="1097" spans="2:9" hidden="1" x14ac:dyDescent="0.25">
      <c r="B1097" s="17">
        <v>4</v>
      </c>
      <c r="C1097" s="17" t="s">
        <v>112</v>
      </c>
      <c r="D1097" s="17" t="s">
        <v>30</v>
      </c>
      <c r="E1097" s="18" t="s">
        <v>2912</v>
      </c>
      <c r="F1097" s="17"/>
      <c r="G1097" s="17"/>
      <c r="H1097" s="17"/>
      <c r="I1097" s="18" t="s">
        <v>113</v>
      </c>
    </row>
    <row r="1098" spans="2:9" hidden="1" x14ac:dyDescent="0.25">
      <c r="B1098" s="17">
        <v>4</v>
      </c>
      <c r="C1098" s="17" t="s">
        <v>1625</v>
      </c>
      <c r="D1098" s="17" t="s">
        <v>43</v>
      </c>
      <c r="E1098" s="18" t="s">
        <v>2913</v>
      </c>
      <c r="F1098" s="17"/>
      <c r="G1098" s="17"/>
      <c r="H1098" s="17"/>
      <c r="I1098" s="18" t="s">
        <v>1626</v>
      </c>
    </row>
    <row r="1099" spans="2:9" hidden="1" x14ac:dyDescent="0.25">
      <c r="B1099" s="17">
        <v>4</v>
      </c>
      <c r="C1099" s="17" t="s">
        <v>1627</v>
      </c>
      <c r="D1099" s="17" t="s">
        <v>30</v>
      </c>
      <c r="E1099" s="18" t="s">
        <v>2914</v>
      </c>
      <c r="F1099" s="17"/>
      <c r="G1099" s="17"/>
      <c r="H1099" s="17"/>
      <c r="I1099" s="18" t="s">
        <v>1628</v>
      </c>
    </row>
    <row r="1100" spans="2:9" hidden="1" x14ac:dyDescent="0.25">
      <c r="B1100" s="17">
        <v>4</v>
      </c>
      <c r="C1100" s="17" t="s">
        <v>1629</v>
      </c>
      <c r="D1100" s="17" t="s">
        <v>30</v>
      </c>
      <c r="E1100" s="18" t="s">
        <v>2915</v>
      </c>
      <c r="F1100" s="17"/>
      <c r="G1100" s="17"/>
      <c r="H1100" s="17"/>
      <c r="I1100" s="18" t="s">
        <v>1630</v>
      </c>
    </row>
    <row r="1101" spans="2:9" hidden="1" x14ac:dyDescent="0.25">
      <c r="B1101" s="17">
        <v>5</v>
      </c>
      <c r="C1101" s="17" t="s">
        <v>1631</v>
      </c>
      <c r="D1101" s="17" t="s">
        <v>40</v>
      </c>
      <c r="E1101" s="18" t="s">
        <v>2916</v>
      </c>
      <c r="F1101" s="17"/>
      <c r="G1101" s="17"/>
      <c r="H1101" s="17"/>
      <c r="I1101" s="18" t="s">
        <v>1632</v>
      </c>
    </row>
    <row r="1102" spans="2:9" hidden="1" x14ac:dyDescent="0.25">
      <c r="B1102" s="17">
        <v>5</v>
      </c>
      <c r="C1102" s="17" t="s">
        <v>1633</v>
      </c>
      <c r="D1102" s="17" t="s">
        <v>44</v>
      </c>
      <c r="E1102" s="18" t="s">
        <v>2917</v>
      </c>
      <c r="F1102" s="17"/>
      <c r="G1102" s="17"/>
      <c r="H1102" s="17"/>
      <c r="I1102" s="18" t="s">
        <v>1634</v>
      </c>
    </row>
    <row r="1103" spans="2:9" hidden="1" x14ac:dyDescent="0.25">
      <c r="B1103" s="17">
        <v>4</v>
      </c>
      <c r="C1103" s="17" t="s">
        <v>1635</v>
      </c>
      <c r="D1103" s="17" t="s">
        <v>30</v>
      </c>
      <c r="E1103" s="18" t="s">
        <v>2918</v>
      </c>
      <c r="F1103" s="17"/>
      <c r="G1103" s="17"/>
      <c r="H1103" s="17"/>
      <c r="I1103" s="18" t="s">
        <v>1636</v>
      </c>
    </row>
    <row r="1104" spans="2:9" hidden="1" x14ac:dyDescent="0.25">
      <c r="B1104" s="17">
        <v>4</v>
      </c>
      <c r="C1104" s="17" t="s">
        <v>1637</v>
      </c>
      <c r="D1104" s="17" t="s">
        <v>30</v>
      </c>
      <c r="E1104" s="18" t="s">
        <v>2919</v>
      </c>
      <c r="F1104" s="17"/>
      <c r="G1104" s="17"/>
      <c r="H1104" s="17"/>
      <c r="I1104" s="18" t="s">
        <v>1636</v>
      </c>
    </row>
    <row r="1105" spans="2:9" hidden="1" x14ac:dyDescent="0.25">
      <c r="B1105" s="17">
        <v>4</v>
      </c>
      <c r="C1105" s="17" t="s">
        <v>1638</v>
      </c>
      <c r="D1105" s="17" t="s">
        <v>30</v>
      </c>
      <c r="E1105" s="18" t="s">
        <v>2920</v>
      </c>
      <c r="F1105" s="17"/>
      <c r="G1105" s="17"/>
      <c r="H1105" s="17"/>
      <c r="I1105" s="18" t="s">
        <v>1639</v>
      </c>
    </row>
    <row r="1106" spans="2:9" hidden="1" x14ac:dyDescent="0.25">
      <c r="B1106" s="17">
        <v>4</v>
      </c>
      <c r="C1106" s="17" t="s">
        <v>1640</v>
      </c>
      <c r="D1106" s="17" t="s">
        <v>30</v>
      </c>
      <c r="E1106" s="18" t="s">
        <v>2921</v>
      </c>
      <c r="F1106" s="17"/>
      <c r="G1106" s="17"/>
      <c r="H1106" s="17"/>
      <c r="I1106" s="18" t="s">
        <v>963</v>
      </c>
    </row>
    <row r="1107" spans="2:9" hidden="1" x14ac:dyDescent="0.25">
      <c r="B1107" s="17">
        <v>4</v>
      </c>
      <c r="C1107" s="17" t="s">
        <v>1641</v>
      </c>
      <c r="D1107" s="17" t="s">
        <v>40</v>
      </c>
      <c r="E1107" s="18" t="s">
        <v>2922</v>
      </c>
      <c r="F1107" s="17"/>
      <c r="G1107" s="17"/>
      <c r="H1107" s="17"/>
      <c r="I1107" s="18" t="s">
        <v>1642</v>
      </c>
    </row>
    <row r="1108" spans="2:9" hidden="1" x14ac:dyDescent="0.25">
      <c r="B1108" s="17">
        <v>4</v>
      </c>
      <c r="C1108" s="17" t="s">
        <v>1643</v>
      </c>
      <c r="D1108" s="17" t="s">
        <v>30</v>
      </c>
      <c r="E1108" s="18" t="s">
        <v>2923</v>
      </c>
      <c r="F1108" s="17"/>
      <c r="G1108" s="17"/>
      <c r="H1108" s="17"/>
      <c r="I1108" s="18" t="s">
        <v>1639</v>
      </c>
    </row>
    <row r="1109" spans="2:9" hidden="1" x14ac:dyDescent="0.25">
      <c r="B1109" s="17">
        <v>4</v>
      </c>
      <c r="C1109" s="17" t="s">
        <v>1644</v>
      </c>
      <c r="D1109" s="17" t="s">
        <v>30</v>
      </c>
      <c r="E1109" s="18" t="s">
        <v>2924</v>
      </c>
      <c r="F1109" s="17"/>
      <c r="G1109" s="17"/>
      <c r="H1109" s="17"/>
      <c r="I1109" s="18" t="s">
        <v>1639</v>
      </c>
    </row>
    <row r="1110" spans="2:9" hidden="1" x14ac:dyDescent="0.25">
      <c r="B1110" s="17">
        <v>4</v>
      </c>
      <c r="C1110" s="17" t="s">
        <v>1645</v>
      </c>
      <c r="D1110" s="17" t="s">
        <v>30</v>
      </c>
      <c r="E1110" s="18" t="s">
        <v>2925</v>
      </c>
      <c r="F1110" s="17"/>
      <c r="G1110" s="17"/>
      <c r="H1110" s="17"/>
      <c r="I1110" s="18" t="s">
        <v>1646</v>
      </c>
    </row>
    <row r="1111" spans="2:9" hidden="1" x14ac:dyDescent="0.25">
      <c r="B1111" s="17">
        <v>4</v>
      </c>
      <c r="C1111" s="17" t="s">
        <v>1081</v>
      </c>
      <c r="D1111" s="17" t="s">
        <v>40</v>
      </c>
      <c r="E1111" s="18" t="s">
        <v>2926</v>
      </c>
      <c r="F1111" s="17"/>
      <c r="G1111" s="17"/>
      <c r="H1111" s="17"/>
      <c r="I1111" s="18" t="s">
        <v>145</v>
      </c>
    </row>
    <row r="1112" spans="2:9" hidden="1" x14ac:dyDescent="0.25">
      <c r="B1112" s="17">
        <v>4</v>
      </c>
      <c r="C1112" s="17" t="s">
        <v>1647</v>
      </c>
      <c r="D1112" s="17" t="s">
        <v>30</v>
      </c>
      <c r="E1112" s="18" t="s">
        <v>2927</v>
      </c>
      <c r="F1112" s="17"/>
      <c r="G1112" s="17"/>
      <c r="H1112" s="17"/>
      <c r="I1112" s="18" t="s">
        <v>1648</v>
      </c>
    </row>
    <row r="1113" spans="2:9" hidden="1" x14ac:dyDescent="0.25">
      <c r="B1113" s="17">
        <v>4</v>
      </c>
      <c r="C1113" s="17" t="s">
        <v>1649</v>
      </c>
      <c r="D1113" s="17" t="s">
        <v>40</v>
      </c>
      <c r="E1113" s="18" t="s">
        <v>2928</v>
      </c>
      <c r="F1113" s="17"/>
      <c r="G1113" s="17"/>
      <c r="H1113" s="17"/>
      <c r="I1113" s="18" t="s">
        <v>431</v>
      </c>
    </row>
    <row r="1114" spans="2:9" hidden="1" x14ac:dyDescent="0.25">
      <c r="B1114" s="17">
        <v>4</v>
      </c>
      <c r="C1114" s="17" t="s">
        <v>146</v>
      </c>
      <c r="D1114" s="17" t="s">
        <v>40</v>
      </c>
      <c r="E1114" s="18" t="s">
        <v>2929</v>
      </c>
      <c r="F1114" s="17"/>
      <c r="G1114" s="17"/>
      <c r="H1114" s="17"/>
      <c r="I1114" s="18" t="s">
        <v>431</v>
      </c>
    </row>
    <row r="1115" spans="2:9" hidden="1" x14ac:dyDescent="0.25">
      <c r="B1115" s="17">
        <v>4</v>
      </c>
      <c r="C1115" s="17" t="s">
        <v>59</v>
      </c>
      <c r="D1115" s="17" t="s">
        <v>42</v>
      </c>
      <c r="E1115" s="18" t="s">
        <v>2930</v>
      </c>
      <c r="F1115" s="17"/>
      <c r="G1115" s="17"/>
      <c r="H1115" s="17"/>
      <c r="I1115" s="18" t="s">
        <v>431</v>
      </c>
    </row>
    <row r="1116" spans="2:9" hidden="1" x14ac:dyDescent="0.25">
      <c r="B1116" s="17">
        <v>4</v>
      </c>
      <c r="C1116" s="17" t="s">
        <v>1650</v>
      </c>
      <c r="D1116" s="17" t="s">
        <v>42</v>
      </c>
      <c r="E1116" s="18" t="s">
        <v>2931</v>
      </c>
      <c r="F1116" s="17"/>
      <c r="G1116" s="17"/>
      <c r="H1116" s="17"/>
      <c r="I1116" s="18" t="s">
        <v>431</v>
      </c>
    </row>
    <row r="1117" spans="2:9" hidden="1" x14ac:dyDescent="0.25">
      <c r="B1117" s="17">
        <v>1</v>
      </c>
      <c r="C1117" s="17" t="s">
        <v>1651</v>
      </c>
      <c r="D1117" s="17" t="s">
        <v>43</v>
      </c>
      <c r="E1117" s="18" t="s">
        <v>2932</v>
      </c>
      <c r="F1117" s="17"/>
      <c r="G1117" s="17"/>
      <c r="H1117" s="17"/>
      <c r="I1117" s="18" t="s">
        <v>1652</v>
      </c>
    </row>
    <row r="1118" spans="2:9" hidden="1" x14ac:dyDescent="0.25">
      <c r="B1118" s="17">
        <v>1</v>
      </c>
      <c r="C1118" s="17" t="s">
        <v>688</v>
      </c>
      <c r="D1118" s="17" t="s">
        <v>30</v>
      </c>
      <c r="E1118" s="18" t="s">
        <v>2933</v>
      </c>
      <c r="F1118" s="17"/>
      <c r="G1118" s="17"/>
      <c r="H1118" s="17"/>
      <c r="I1118" s="18" t="s">
        <v>689</v>
      </c>
    </row>
    <row r="1119" spans="2:9" hidden="1" x14ac:dyDescent="0.25">
      <c r="B1119" s="17">
        <v>1</v>
      </c>
      <c r="C1119" s="17" t="s">
        <v>1653</v>
      </c>
      <c r="D1119" s="17" t="s">
        <v>30</v>
      </c>
      <c r="E1119" s="18" t="s">
        <v>2934</v>
      </c>
      <c r="F1119" s="17"/>
      <c r="G1119" s="17"/>
      <c r="H1119" s="17"/>
      <c r="I1119" s="18" t="s">
        <v>1654</v>
      </c>
    </row>
    <row r="1120" spans="2:9" hidden="1" x14ac:dyDescent="0.25">
      <c r="B1120" s="17">
        <v>1</v>
      </c>
      <c r="C1120" s="17" t="s">
        <v>1655</v>
      </c>
      <c r="D1120" s="17" t="s">
        <v>30</v>
      </c>
      <c r="E1120" s="18" t="s">
        <v>2935</v>
      </c>
      <c r="F1120" s="17"/>
      <c r="G1120" s="17"/>
      <c r="H1120" s="17"/>
      <c r="I1120" s="18" t="s">
        <v>1656</v>
      </c>
    </row>
    <row r="1121" spans="2:9" hidden="1" x14ac:dyDescent="0.25">
      <c r="B1121" s="17">
        <v>1</v>
      </c>
      <c r="C1121" s="17" t="s">
        <v>1657</v>
      </c>
      <c r="D1121" s="17" t="s">
        <v>40</v>
      </c>
      <c r="E1121" s="18" t="s">
        <v>2936</v>
      </c>
      <c r="F1121" s="17"/>
      <c r="G1121" s="17"/>
      <c r="H1121" s="17"/>
      <c r="I1121" s="18" t="s">
        <v>1658</v>
      </c>
    </row>
    <row r="1122" spans="2:9" hidden="1" x14ac:dyDescent="0.25">
      <c r="B1122" s="17">
        <v>2</v>
      </c>
      <c r="C1122" s="17" t="s">
        <v>1659</v>
      </c>
      <c r="D1122" s="17" t="s">
        <v>30</v>
      </c>
      <c r="E1122" s="18" t="s">
        <v>2937</v>
      </c>
      <c r="F1122" s="17"/>
      <c r="G1122" s="17"/>
      <c r="H1122" s="17"/>
      <c r="I1122" s="18" t="s">
        <v>1660</v>
      </c>
    </row>
    <row r="1123" spans="2:9" hidden="1" x14ac:dyDescent="0.25">
      <c r="B1123" s="17">
        <v>2</v>
      </c>
      <c r="C1123" s="17" t="s">
        <v>1661</v>
      </c>
      <c r="D1123" s="17" t="s">
        <v>30</v>
      </c>
      <c r="E1123" s="18" t="s">
        <v>2938</v>
      </c>
      <c r="F1123" s="17"/>
      <c r="G1123" s="17"/>
      <c r="H1123" s="17"/>
      <c r="I1123" s="18" t="s">
        <v>1662</v>
      </c>
    </row>
    <row r="1124" spans="2:9" hidden="1" x14ac:dyDescent="0.25">
      <c r="B1124" s="17">
        <v>1</v>
      </c>
      <c r="C1124" s="17" t="s">
        <v>1663</v>
      </c>
      <c r="D1124" s="17" t="s">
        <v>30</v>
      </c>
      <c r="E1124" s="18" t="s">
        <v>2939</v>
      </c>
      <c r="F1124" s="17"/>
      <c r="G1124" s="17"/>
      <c r="H1124" s="17"/>
      <c r="I1124" s="18" t="s">
        <v>1664</v>
      </c>
    </row>
    <row r="1125" spans="2:9" ht="31.5" x14ac:dyDescent="0.25">
      <c r="B1125" s="17">
        <v>1</v>
      </c>
      <c r="C1125" s="17" t="s">
        <v>1665</v>
      </c>
      <c r="D1125" s="17" t="s">
        <v>30</v>
      </c>
      <c r="E1125" s="18" t="s">
        <v>2940</v>
      </c>
      <c r="F1125" s="17" t="s">
        <v>1595</v>
      </c>
      <c r="G1125" s="19" t="s">
        <v>1666</v>
      </c>
      <c r="H1125" s="19" t="s">
        <v>45</v>
      </c>
      <c r="I1125" s="18" t="s">
        <v>1667</v>
      </c>
    </row>
    <row r="1126" spans="2:9" hidden="1" x14ac:dyDescent="0.25">
      <c r="B1126" s="17">
        <v>2</v>
      </c>
      <c r="C1126" s="17" t="s">
        <v>850</v>
      </c>
      <c r="D1126" s="17" t="s">
        <v>30</v>
      </c>
      <c r="E1126" s="18" t="s">
        <v>2941</v>
      </c>
      <c r="F1126" s="17"/>
      <c r="G1126" s="17"/>
      <c r="H1126" s="17"/>
      <c r="I1126" s="18" t="s">
        <v>851</v>
      </c>
    </row>
    <row r="1127" spans="2:9" hidden="1" x14ac:dyDescent="0.25">
      <c r="B1127" s="17">
        <v>2</v>
      </c>
      <c r="C1127" s="17" t="s">
        <v>854</v>
      </c>
      <c r="D1127" s="17" t="s">
        <v>42</v>
      </c>
      <c r="E1127" s="18" t="s">
        <v>2942</v>
      </c>
      <c r="F1127" s="17"/>
      <c r="G1127" s="17"/>
      <c r="H1127" s="17"/>
      <c r="I1127" s="18" t="s">
        <v>344</v>
      </c>
    </row>
    <row r="1128" spans="2:9" hidden="1" x14ac:dyDescent="0.25">
      <c r="B1128" s="17">
        <v>2</v>
      </c>
      <c r="C1128" s="17" t="s">
        <v>855</v>
      </c>
      <c r="D1128" s="17" t="s">
        <v>40</v>
      </c>
      <c r="E1128" s="18" t="s">
        <v>2943</v>
      </c>
      <c r="F1128" s="17"/>
      <c r="G1128" s="17"/>
      <c r="H1128" s="17"/>
      <c r="I1128" s="18" t="s">
        <v>856</v>
      </c>
    </row>
    <row r="1129" spans="2:9" hidden="1" x14ac:dyDescent="0.25">
      <c r="B1129" s="17">
        <v>3</v>
      </c>
      <c r="C1129" s="17" t="s">
        <v>857</v>
      </c>
      <c r="D1129" s="17" t="s">
        <v>30</v>
      </c>
      <c r="E1129" s="18" t="s">
        <v>2944</v>
      </c>
      <c r="F1129" s="17"/>
      <c r="G1129" s="17"/>
      <c r="H1129" s="17"/>
      <c r="I1129" s="18" t="s">
        <v>858</v>
      </c>
    </row>
    <row r="1130" spans="2:9" hidden="1" x14ac:dyDescent="0.25">
      <c r="B1130" s="17">
        <v>3</v>
      </c>
      <c r="C1130" s="17" t="s">
        <v>859</v>
      </c>
      <c r="D1130" s="17" t="s">
        <v>40</v>
      </c>
      <c r="E1130" s="18" t="s">
        <v>2945</v>
      </c>
      <c r="F1130" s="17"/>
      <c r="G1130" s="17"/>
      <c r="H1130" s="17"/>
      <c r="I1130" s="18" t="s">
        <v>860</v>
      </c>
    </row>
    <row r="1131" spans="2:9" hidden="1" x14ac:dyDescent="0.25">
      <c r="B1131" s="17">
        <v>2</v>
      </c>
      <c r="C1131" s="17" t="s">
        <v>875</v>
      </c>
      <c r="D1131" s="17" t="s">
        <v>30</v>
      </c>
      <c r="E1131" s="18" t="s">
        <v>2946</v>
      </c>
      <c r="F1131" s="17"/>
      <c r="G1131" s="17"/>
      <c r="H1131" s="17"/>
      <c r="I1131" s="18" t="s">
        <v>876</v>
      </c>
    </row>
    <row r="1132" spans="2:9" hidden="1" x14ac:dyDescent="0.25">
      <c r="B1132" s="17">
        <v>2</v>
      </c>
      <c r="C1132" s="17" t="s">
        <v>1668</v>
      </c>
      <c r="D1132" s="17" t="s">
        <v>30</v>
      </c>
      <c r="E1132" s="18" t="s">
        <v>2947</v>
      </c>
      <c r="F1132" s="17"/>
      <c r="G1132" s="17"/>
      <c r="H1132" s="17"/>
      <c r="I1132" s="18" t="s">
        <v>1669</v>
      </c>
    </row>
    <row r="1133" spans="2:9" hidden="1" x14ac:dyDescent="0.25">
      <c r="B1133" s="17">
        <v>3</v>
      </c>
      <c r="C1133" s="17" t="s">
        <v>1670</v>
      </c>
      <c r="D1133" s="17" t="s">
        <v>30</v>
      </c>
      <c r="E1133" s="18" t="s">
        <v>2948</v>
      </c>
      <c r="F1133" s="17"/>
      <c r="G1133" s="17"/>
      <c r="H1133" s="17"/>
      <c r="I1133" s="18" t="s">
        <v>1671</v>
      </c>
    </row>
    <row r="1134" spans="2:9" hidden="1" x14ac:dyDescent="0.25">
      <c r="B1134" s="17">
        <v>3</v>
      </c>
      <c r="C1134" s="17" t="s">
        <v>1069</v>
      </c>
      <c r="D1134" s="17" t="s">
        <v>49</v>
      </c>
      <c r="E1134" s="18" t="s">
        <v>2949</v>
      </c>
      <c r="F1134" s="17"/>
      <c r="G1134" s="17"/>
      <c r="H1134" s="17"/>
      <c r="I1134" s="18" t="s">
        <v>123</v>
      </c>
    </row>
    <row r="1135" spans="2:9" hidden="1" x14ac:dyDescent="0.25">
      <c r="B1135" s="17">
        <v>3</v>
      </c>
      <c r="C1135" s="17" t="s">
        <v>1672</v>
      </c>
      <c r="D1135" s="17" t="s">
        <v>41</v>
      </c>
      <c r="E1135" s="18" t="s">
        <v>2950</v>
      </c>
      <c r="F1135" s="17"/>
      <c r="G1135" s="17"/>
      <c r="H1135" s="17"/>
      <c r="I1135" s="18" t="s">
        <v>517</v>
      </c>
    </row>
    <row r="1136" spans="2:9" hidden="1" x14ac:dyDescent="0.25">
      <c r="B1136" s="17">
        <v>3</v>
      </c>
      <c r="C1136" s="17" t="s">
        <v>1673</v>
      </c>
      <c r="D1136" s="17" t="s">
        <v>30</v>
      </c>
      <c r="E1136" s="18" t="s">
        <v>2951</v>
      </c>
      <c r="F1136" s="17"/>
      <c r="G1136" s="17"/>
      <c r="H1136" s="17"/>
      <c r="I1136" s="18" t="s">
        <v>1674</v>
      </c>
    </row>
    <row r="1137" spans="2:9" hidden="1" x14ac:dyDescent="0.25">
      <c r="B1137" s="17">
        <v>2</v>
      </c>
      <c r="C1137" s="17" t="s">
        <v>1675</v>
      </c>
      <c r="D1137" s="17" t="s">
        <v>30</v>
      </c>
      <c r="E1137" s="18" t="s">
        <v>2952</v>
      </c>
      <c r="F1137" s="17"/>
      <c r="G1137" s="17"/>
      <c r="H1137" s="17"/>
      <c r="I1137" s="18" t="s">
        <v>1676</v>
      </c>
    </row>
    <row r="1138" spans="2:9" hidden="1" x14ac:dyDescent="0.25">
      <c r="B1138" s="17">
        <v>2</v>
      </c>
      <c r="C1138" s="17" t="s">
        <v>879</v>
      </c>
      <c r="D1138" s="17" t="s">
        <v>30</v>
      </c>
      <c r="E1138" s="18" t="s">
        <v>2953</v>
      </c>
      <c r="F1138" s="17"/>
      <c r="G1138" s="17"/>
      <c r="H1138" s="17"/>
      <c r="I1138" s="18" t="s">
        <v>853</v>
      </c>
    </row>
    <row r="1139" spans="2:9" hidden="1" x14ac:dyDescent="0.25">
      <c r="B1139" s="17">
        <v>2</v>
      </c>
      <c r="C1139" s="17" t="s">
        <v>1677</v>
      </c>
      <c r="D1139" s="17" t="s">
        <v>30</v>
      </c>
      <c r="E1139" s="18" t="s">
        <v>2954</v>
      </c>
      <c r="F1139" s="17"/>
      <c r="G1139" s="17"/>
      <c r="H1139" s="17"/>
      <c r="I1139" s="18" t="s">
        <v>1678</v>
      </c>
    </row>
    <row r="1140" spans="2:9" hidden="1" x14ac:dyDescent="0.25">
      <c r="B1140" s="17">
        <v>2</v>
      </c>
      <c r="C1140" s="17" t="s">
        <v>1679</v>
      </c>
      <c r="D1140" s="17" t="s">
        <v>30</v>
      </c>
      <c r="E1140" s="18" t="s">
        <v>2955</v>
      </c>
      <c r="F1140" s="17"/>
      <c r="G1140" s="17"/>
      <c r="H1140" s="17"/>
      <c r="I1140" s="18" t="s">
        <v>412</v>
      </c>
    </row>
    <row r="1141" spans="2:9" hidden="1" x14ac:dyDescent="0.25">
      <c r="B1141" s="17">
        <v>2</v>
      </c>
      <c r="C1141" s="17" t="s">
        <v>1680</v>
      </c>
      <c r="D1141" s="17" t="s">
        <v>30</v>
      </c>
      <c r="E1141" s="18" t="s">
        <v>2956</v>
      </c>
      <c r="F1141" s="17"/>
      <c r="G1141" s="17"/>
      <c r="H1141" s="17"/>
      <c r="I1141" s="18" t="s">
        <v>412</v>
      </c>
    </row>
    <row r="1142" spans="2:9" hidden="1" x14ac:dyDescent="0.25">
      <c r="B1142" s="17">
        <v>2</v>
      </c>
      <c r="C1142" s="17" t="s">
        <v>1681</v>
      </c>
      <c r="D1142" s="17" t="s">
        <v>42</v>
      </c>
      <c r="E1142" s="18" t="s">
        <v>2957</v>
      </c>
      <c r="F1142" s="17"/>
      <c r="G1142" s="17"/>
      <c r="H1142" s="17"/>
      <c r="I1142" s="18" t="s">
        <v>1682</v>
      </c>
    </row>
    <row r="1143" spans="2:9" hidden="1" x14ac:dyDescent="0.25">
      <c r="B1143" s="17">
        <v>3</v>
      </c>
      <c r="C1143" s="17" t="s">
        <v>1683</v>
      </c>
      <c r="D1143" s="17" t="s">
        <v>40</v>
      </c>
      <c r="E1143" s="18" t="s">
        <v>2958</v>
      </c>
      <c r="F1143" s="17"/>
      <c r="G1143" s="17"/>
      <c r="H1143" s="17"/>
      <c r="I1143" s="18" t="s">
        <v>1684</v>
      </c>
    </row>
    <row r="1144" spans="2:9" hidden="1" x14ac:dyDescent="0.25">
      <c r="B1144" s="17">
        <v>3</v>
      </c>
      <c r="C1144" s="17" t="s">
        <v>1685</v>
      </c>
      <c r="D1144" s="17" t="s">
        <v>43</v>
      </c>
      <c r="E1144" s="18" t="s">
        <v>2959</v>
      </c>
      <c r="F1144" s="17"/>
      <c r="G1144" s="17"/>
      <c r="H1144" s="17"/>
      <c r="I1144" s="18" t="s">
        <v>1686</v>
      </c>
    </row>
    <row r="1145" spans="2:9" hidden="1" x14ac:dyDescent="0.25">
      <c r="B1145" s="17">
        <v>3</v>
      </c>
      <c r="C1145" s="17" t="s">
        <v>429</v>
      </c>
      <c r="D1145" s="17" t="s">
        <v>30</v>
      </c>
      <c r="E1145" s="18" t="s">
        <v>2960</v>
      </c>
      <c r="F1145" s="17"/>
      <c r="G1145" s="17"/>
      <c r="H1145" s="17"/>
      <c r="I1145" s="18" t="s">
        <v>430</v>
      </c>
    </row>
    <row r="1146" spans="2:9" hidden="1" x14ac:dyDescent="0.25">
      <c r="B1146" s="17">
        <v>3</v>
      </c>
      <c r="C1146" s="17" t="s">
        <v>1687</v>
      </c>
      <c r="D1146" s="17" t="s">
        <v>30</v>
      </c>
      <c r="E1146" s="18" t="s">
        <v>2961</v>
      </c>
      <c r="F1146" s="17"/>
      <c r="G1146" s="17"/>
      <c r="H1146" s="17"/>
      <c r="I1146" s="18" t="s">
        <v>1688</v>
      </c>
    </row>
    <row r="1147" spans="2:9" hidden="1" x14ac:dyDescent="0.25">
      <c r="B1147" s="17">
        <v>3</v>
      </c>
      <c r="C1147" s="17" t="s">
        <v>1689</v>
      </c>
      <c r="D1147" s="17" t="s">
        <v>30</v>
      </c>
      <c r="E1147" s="18" t="s">
        <v>2962</v>
      </c>
      <c r="F1147" s="17"/>
      <c r="G1147" s="17"/>
      <c r="H1147" s="17"/>
      <c r="I1147" s="18" t="s">
        <v>1690</v>
      </c>
    </row>
    <row r="1148" spans="2:9" hidden="1" x14ac:dyDescent="0.25">
      <c r="B1148" s="17">
        <v>2</v>
      </c>
      <c r="C1148" s="17" t="s">
        <v>1691</v>
      </c>
      <c r="D1148" s="17" t="s">
        <v>42</v>
      </c>
      <c r="E1148" s="18" t="s">
        <v>2963</v>
      </c>
      <c r="F1148" s="17"/>
      <c r="G1148" s="17"/>
      <c r="H1148" s="17"/>
      <c r="I1148" s="18" t="s">
        <v>1692</v>
      </c>
    </row>
    <row r="1149" spans="2:9" hidden="1" x14ac:dyDescent="0.25">
      <c r="B1149" s="17">
        <v>3</v>
      </c>
      <c r="C1149" s="17" t="s">
        <v>1693</v>
      </c>
      <c r="D1149" s="17" t="s">
        <v>42</v>
      </c>
      <c r="E1149" s="18" t="s">
        <v>2964</v>
      </c>
      <c r="F1149" s="17"/>
      <c r="G1149" s="17"/>
      <c r="H1149" s="17"/>
      <c r="I1149" s="18" t="s">
        <v>110</v>
      </c>
    </row>
    <row r="1150" spans="2:9" hidden="1" x14ac:dyDescent="0.25">
      <c r="B1150" s="17">
        <v>3</v>
      </c>
      <c r="C1150" s="17" t="s">
        <v>1694</v>
      </c>
      <c r="D1150" s="17" t="s">
        <v>43</v>
      </c>
      <c r="E1150" s="18" t="s">
        <v>2965</v>
      </c>
      <c r="F1150" s="17"/>
      <c r="G1150" s="17"/>
      <c r="H1150" s="17"/>
      <c r="I1150" s="18" t="s">
        <v>1695</v>
      </c>
    </row>
    <row r="1151" spans="2:9" hidden="1" x14ac:dyDescent="0.25">
      <c r="B1151" s="17">
        <v>3</v>
      </c>
      <c r="C1151" s="17" t="s">
        <v>1696</v>
      </c>
      <c r="D1151" s="17" t="s">
        <v>30</v>
      </c>
      <c r="E1151" s="18" t="s">
        <v>2966</v>
      </c>
      <c r="F1151" s="17"/>
      <c r="G1151" s="17"/>
      <c r="H1151" s="17"/>
      <c r="I1151" s="18" t="s">
        <v>1697</v>
      </c>
    </row>
    <row r="1152" spans="2:9" hidden="1" x14ac:dyDescent="0.25">
      <c r="B1152" s="17">
        <v>4</v>
      </c>
      <c r="C1152" s="17" t="s">
        <v>1698</v>
      </c>
      <c r="D1152" s="17" t="s">
        <v>42</v>
      </c>
      <c r="E1152" s="18" t="s">
        <v>2967</v>
      </c>
      <c r="F1152" s="17"/>
      <c r="G1152" s="17"/>
      <c r="H1152" s="17"/>
      <c r="I1152" s="18" t="s">
        <v>1699</v>
      </c>
    </row>
    <row r="1153" spans="2:9" hidden="1" x14ac:dyDescent="0.25">
      <c r="B1153" s="17">
        <v>4</v>
      </c>
      <c r="C1153" s="17" t="s">
        <v>1700</v>
      </c>
      <c r="D1153" s="17" t="s">
        <v>30</v>
      </c>
      <c r="E1153" s="18" t="s">
        <v>2968</v>
      </c>
      <c r="F1153" s="17"/>
      <c r="G1153" s="17"/>
      <c r="H1153" s="17"/>
      <c r="I1153" s="18" t="s">
        <v>1701</v>
      </c>
    </row>
    <row r="1154" spans="2:9" hidden="1" x14ac:dyDescent="0.25">
      <c r="B1154" s="17">
        <v>5</v>
      </c>
      <c r="C1154" s="17" t="s">
        <v>1702</v>
      </c>
      <c r="D1154" s="17" t="s">
        <v>30</v>
      </c>
      <c r="E1154" s="18" t="s">
        <v>2969</v>
      </c>
      <c r="F1154" s="17"/>
      <c r="G1154" s="17"/>
      <c r="H1154" s="17"/>
      <c r="I1154" s="18" t="s">
        <v>1703</v>
      </c>
    </row>
    <row r="1155" spans="2:9" hidden="1" x14ac:dyDescent="0.25">
      <c r="B1155" s="17">
        <v>5</v>
      </c>
      <c r="C1155" s="17" t="s">
        <v>1704</v>
      </c>
      <c r="D1155" s="17" t="s">
        <v>30</v>
      </c>
      <c r="E1155" s="18" t="s">
        <v>2970</v>
      </c>
      <c r="F1155" s="17"/>
      <c r="G1155" s="17"/>
      <c r="H1155" s="17"/>
      <c r="I1155" s="18" t="s">
        <v>1705</v>
      </c>
    </row>
    <row r="1156" spans="2:9" hidden="1" x14ac:dyDescent="0.25">
      <c r="B1156" s="17">
        <v>3</v>
      </c>
      <c r="C1156" s="17" t="s">
        <v>993</v>
      </c>
      <c r="D1156" s="17" t="s">
        <v>30</v>
      </c>
      <c r="E1156" s="18" t="s">
        <v>2971</v>
      </c>
      <c r="F1156" s="17"/>
      <c r="G1156" s="17"/>
      <c r="H1156" s="17"/>
      <c r="I1156" s="18" t="s">
        <v>816</v>
      </c>
    </row>
    <row r="1157" spans="2:9" hidden="1" x14ac:dyDescent="0.25">
      <c r="B1157" s="17">
        <v>3</v>
      </c>
      <c r="C1157" s="17" t="s">
        <v>1706</v>
      </c>
      <c r="D1157" s="17" t="s">
        <v>30</v>
      </c>
      <c r="E1157" s="18" t="s">
        <v>2972</v>
      </c>
      <c r="F1157" s="17"/>
      <c r="G1157" s="17"/>
      <c r="H1157" s="17"/>
      <c r="I1157" s="18" t="s">
        <v>816</v>
      </c>
    </row>
    <row r="1158" spans="2:9" hidden="1" x14ac:dyDescent="0.25">
      <c r="B1158" s="17">
        <v>3</v>
      </c>
      <c r="C1158" s="17" t="s">
        <v>1707</v>
      </c>
      <c r="D1158" s="17" t="s">
        <v>30</v>
      </c>
      <c r="E1158" s="18" t="s">
        <v>2973</v>
      </c>
      <c r="F1158" s="17"/>
      <c r="G1158" s="17"/>
      <c r="H1158" s="17"/>
      <c r="I1158" s="18" t="s">
        <v>996</v>
      </c>
    </row>
    <row r="1159" spans="2:9" hidden="1" x14ac:dyDescent="0.25">
      <c r="B1159" s="17">
        <v>3</v>
      </c>
      <c r="C1159" s="17" t="s">
        <v>823</v>
      </c>
      <c r="D1159" s="17" t="s">
        <v>40</v>
      </c>
      <c r="E1159" s="18" t="s">
        <v>2974</v>
      </c>
      <c r="F1159" s="17"/>
      <c r="G1159" s="17"/>
      <c r="H1159" s="17"/>
      <c r="I1159" s="18" t="s">
        <v>824</v>
      </c>
    </row>
    <row r="1160" spans="2:9" hidden="1" x14ac:dyDescent="0.25">
      <c r="B1160" s="17">
        <v>3</v>
      </c>
      <c r="C1160" s="17" t="s">
        <v>1708</v>
      </c>
      <c r="D1160" s="17" t="s">
        <v>30</v>
      </c>
      <c r="E1160" s="18" t="s">
        <v>2975</v>
      </c>
      <c r="F1160" s="17"/>
      <c r="G1160" s="17"/>
      <c r="H1160" s="17"/>
      <c r="I1160" s="18" t="s">
        <v>1709</v>
      </c>
    </row>
    <row r="1161" spans="2:9" hidden="1" x14ac:dyDescent="0.25">
      <c r="B1161" s="17">
        <v>3</v>
      </c>
      <c r="C1161" s="17" t="s">
        <v>846</v>
      </c>
      <c r="D1161" s="17" t="s">
        <v>30</v>
      </c>
      <c r="E1161" s="18" t="s">
        <v>2976</v>
      </c>
      <c r="F1161" s="17"/>
      <c r="G1161" s="17"/>
      <c r="H1161" s="17"/>
      <c r="I1161" s="18" t="s">
        <v>847</v>
      </c>
    </row>
    <row r="1162" spans="2:9" hidden="1" x14ac:dyDescent="0.25">
      <c r="B1162" s="17">
        <v>3</v>
      </c>
      <c r="C1162" s="17" t="s">
        <v>1710</v>
      </c>
      <c r="D1162" s="17" t="s">
        <v>30</v>
      </c>
      <c r="E1162" s="18" t="s">
        <v>2977</v>
      </c>
      <c r="F1162" s="17"/>
      <c r="G1162" s="17"/>
      <c r="H1162" s="17"/>
      <c r="I1162" s="18" t="s">
        <v>1711</v>
      </c>
    </row>
    <row r="1163" spans="2:9" hidden="1" x14ac:dyDescent="0.25">
      <c r="B1163" s="17">
        <v>2</v>
      </c>
      <c r="C1163" s="17" t="s">
        <v>1712</v>
      </c>
      <c r="D1163" s="17" t="s">
        <v>30</v>
      </c>
      <c r="E1163" s="18" t="s">
        <v>2978</v>
      </c>
      <c r="F1163" s="17"/>
      <c r="G1163" s="17"/>
      <c r="H1163" s="17"/>
      <c r="I1163" s="18" t="s">
        <v>1713</v>
      </c>
    </row>
    <row r="1164" spans="2:9" hidden="1" x14ac:dyDescent="0.25">
      <c r="B1164" s="17">
        <v>2</v>
      </c>
      <c r="C1164" s="17" t="s">
        <v>1714</v>
      </c>
      <c r="D1164" s="17" t="s">
        <v>30</v>
      </c>
      <c r="E1164" s="18" t="s">
        <v>2979</v>
      </c>
      <c r="F1164" s="17"/>
      <c r="G1164" s="17"/>
      <c r="H1164" s="17"/>
      <c r="I1164" s="18" t="s">
        <v>1715</v>
      </c>
    </row>
    <row r="1165" spans="2:9" hidden="1" x14ac:dyDescent="0.25">
      <c r="B1165" s="17">
        <v>2</v>
      </c>
      <c r="C1165" s="17" t="s">
        <v>1716</v>
      </c>
      <c r="D1165" s="17" t="s">
        <v>30</v>
      </c>
      <c r="E1165" s="18" t="s">
        <v>2980</v>
      </c>
      <c r="F1165" s="17"/>
      <c r="G1165" s="17"/>
      <c r="H1165" s="17"/>
      <c r="I1165" s="18" t="s">
        <v>1717</v>
      </c>
    </row>
    <row r="1166" spans="2:9" hidden="1" x14ac:dyDescent="0.25">
      <c r="B1166" s="17">
        <v>2</v>
      </c>
      <c r="C1166" s="17" t="s">
        <v>1718</v>
      </c>
      <c r="D1166" s="17" t="s">
        <v>30</v>
      </c>
      <c r="E1166" s="18" t="s">
        <v>2981</v>
      </c>
      <c r="F1166" s="17"/>
      <c r="G1166" s="17"/>
      <c r="H1166" s="17"/>
      <c r="I1166" s="18" t="s">
        <v>106</v>
      </c>
    </row>
    <row r="1167" spans="2:9" hidden="1" x14ac:dyDescent="0.25">
      <c r="B1167" s="17">
        <v>2</v>
      </c>
      <c r="C1167" s="17" t="s">
        <v>105</v>
      </c>
      <c r="D1167" s="17" t="s">
        <v>40</v>
      </c>
      <c r="E1167" s="18" t="s">
        <v>2982</v>
      </c>
      <c r="F1167" s="17"/>
      <c r="G1167" s="17"/>
      <c r="H1167" s="17"/>
      <c r="I1167" s="18" t="s">
        <v>106</v>
      </c>
    </row>
    <row r="1168" spans="2:9" hidden="1" x14ac:dyDescent="0.25">
      <c r="B1168" s="17">
        <v>2</v>
      </c>
      <c r="C1168" s="17" t="s">
        <v>107</v>
      </c>
      <c r="D1168" s="17" t="s">
        <v>40</v>
      </c>
      <c r="E1168" s="18" t="s">
        <v>2983</v>
      </c>
      <c r="F1168" s="17"/>
      <c r="G1168" s="17"/>
      <c r="H1168" s="17"/>
      <c r="I1168" s="18" t="s">
        <v>108</v>
      </c>
    </row>
    <row r="1169" spans="2:9" hidden="1" x14ac:dyDescent="0.25">
      <c r="B1169" s="17">
        <v>1</v>
      </c>
      <c r="C1169" s="17" t="s">
        <v>1719</v>
      </c>
      <c r="D1169" s="17" t="s">
        <v>30</v>
      </c>
      <c r="E1169" s="18" t="s">
        <v>2984</v>
      </c>
      <c r="F1169" s="17"/>
      <c r="G1169" s="17"/>
      <c r="H1169" s="17"/>
      <c r="I1169" s="18" t="s">
        <v>1720</v>
      </c>
    </row>
    <row r="1170" spans="2:9" hidden="1" x14ac:dyDescent="0.25">
      <c r="B1170" s="17">
        <v>2</v>
      </c>
      <c r="C1170" s="17" t="s">
        <v>1721</v>
      </c>
      <c r="D1170" s="17" t="s">
        <v>30</v>
      </c>
      <c r="E1170" s="18" t="s">
        <v>2985</v>
      </c>
      <c r="F1170" s="17"/>
      <c r="G1170" s="17"/>
      <c r="H1170" s="17"/>
      <c r="I1170" s="18" t="s">
        <v>1722</v>
      </c>
    </row>
    <row r="1171" spans="2:9" hidden="1" x14ac:dyDescent="0.25">
      <c r="B1171" s="17">
        <v>2</v>
      </c>
      <c r="C1171" s="17" t="s">
        <v>1723</v>
      </c>
      <c r="D1171" s="17" t="s">
        <v>30</v>
      </c>
      <c r="E1171" s="18" t="s">
        <v>2986</v>
      </c>
      <c r="F1171" s="17"/>
      <c r="G1171" s="17"/>
      <c r="H1171" s="17"/>
      <c r="I1171" s="18" t="s">
        <v>1724</v>
      </c>
    </row>
    <row r="1172" spans="2:9" hidden="1" x14ac:dyDescent="0.25">
      <c r="B1172" s="17">
        <v>2</v>
      </c>
      <c r="C1172" s="17" t="s">
        <v>1725</v>
      </c>
      <c r="D1172" s="17" t="s">
        <v>40</v>
      </c>
      <c r="E1172" s="18" t="s">
        <v>2987</v>
      </c>
      <c r="F1172" s="17"/>
      <c r="G1172" s="17"/>
      <c r="H1172" s="17"/>
      <c r="I1172" s="18" t="s">
        <v>1726</v>
      </c>
    </row>
    <row r="1173" spans="2:9" hidden="1" x14ac:dyDescent="0.25">
      <c r="B1173" s="17">
        <v>3</v>
      </c>
      <c r="C1173" s="17" t="s">
        <v>1727</v>
      </c>
      <c r="D1173" s="17" t="s">
        <v>30</v>
      </c>
      <c r="E1173" s="18" t="s">
        <v>2988</v>
      </c>
      <c r="F1173" s="17"/>
      <c r="G1173" s="17"/>
      <c r="H1173" s="17"/>
      <c r="I1173" s="18" t="s">
        <v>1728</v>
      </c>
    </row>
    <row r="1174" spans="2:9" hidden="1" x14ac:dyDescent="0.25">
      <c r="B1174" s="17">
        <v>3</v>
      </c>
      <c r="C1174" s="17" t="s">
        <v>1729</v>
      </c>
      <c r="D1174" s="17" t="s">
        <v>40</v>
      </c>
      <c r="E1174" s="18" t="s">
        <v>2989</v>
      </c>
      <c r="F1174" s="17"/>
      <c r="G1174" s="17"/>
      <c r="H1174" s="17"/>
      <c r="I1174" s="18" t="s">
        <v>1730</v>
      </c>
    </row>
    <row r="1175" spans="2:9" hidden="1" x14ac:dyDescent="0.25">
      <c r="B1175" s="17">
        <v>2</v>
      </c>
      <c r="C1175" s="17" t="s">
        <v>1731</v>
      </c>
      <c r="D1175" s="17" t="s">
        <v>30</v>
      </c>
      <c r="E1175" s="18" t="s">
        <v>2990</v>
      </c>
      <c r="F1175" s="17"/>
      <c r="G1175" s="17"/>
      <c r="H1175" s="17"/>
      <c r="I1175" s="18" t="s">
        <v>1732</v>
      </c>
    </row>
    <row r="1176" spans="2:9" hidden="1" x14ac:dyDescent="0.25">
      <c r="B1176" s="17">
        <v>2</v>
      </c>
      <c r="C1176" s="17" t="s">
        <v>1733</v>
      </c>
      <c r="D1176" s="17" t="s">
        <v>40</v>
      </c>
      <c r="E1176" s="18" t="s">
        <v>2991</v>
      </c>
      <c r="F1176" s="17"/>
      <c r="G1176" s="17"/>
      <c r="H1176" s="17"/>
      <c r="I1176" s="18" t="s">
        <v>1734</v>
      </c>
    </row>
    <row r="1177" spans="2:9" hidden="1" x14ac:dyDescent="0.25">
      <c r="B1177" s="17">
        <v>3</v>
      </c>
      <c r="C1177" s="17" t="s">
        <v>1116</v>
      </c>
      <c r="D1177" s="17" t="s">
        <v>49</v>
      </c>
      <c r="E1177" s="18" t="s">
        <v>2992</v>
      </c>
      <c r="F1177" s="17"/>
      <c r="G1177" s="17"/>
      <c r="H1177" s="17"/>
      <c r="I1177" s="18" t="s">
        <v>127</v>
      </c>
    </row>
    <row r="1178" spans="2:9" hidden="1" x14ac:dyDescent="0.25">
      <c r="B1178" s="17">
        <v>3</v>
      </c>
      <c r="C1178" s="17" t="s">
        <v>1735</v>
      </c>
      <c r="D1178" s="17" t="s">
        <v>40</v>
      </c>
      <c r="E1178" s="18" t="s">
        <v>2993</v>
      </c>
      <c r="F1178" s="17"/>
      <c r="G1178" s="17"/>
      <c r="H1178" s="17"/>
      <c r="I1178" s="18" t="s">
        <v>1736</v>
      </c>
    </row>
    <row r="1179" spans="2:9" hidden="1" x14ac:dyDescent="0.25">
      <c r="B1179" s="17">
        <v>2</v>
      </c>
      <c r="C1179" s="17" t="s">
        <v>1737</v>
      </c>
      <c r="D1179" s="17" t="s">
        <v>30</v>
      </c>
      <c r="E1179" s="18" t="s">
        <v>2994</v>
      </c>
      <c r="F1179" s="17"/>
      <c r="G1179" s="17"/>
      <c r="H1179" s="17"/>
      <c r="I1179" s="18" t="s">
        <v>1738</v>
      </c>
    </row>
    <row r="1180" spans="2:9" hidden="1" x14ac:dyDescent="0.25">
      <c r="B1180" s="17">
        <v>2</v>
      </c>
      <c r="C1180" s="17" t="s">
        <v>1234</v>
      </c>
      <c r="D1180" s="17" t="s">
        <v>30</v>
      </c>
      <c r="E1180" s="18" t="s">
        <v>2995</v>
      </c>
      <c r="F1180" s="17"/>
      <c r="G1180" s="17"/>
      <c r="H1180" s="17"/>
      <c r="I1180" s="18" t="s">
        <v>433</v>
      </c>
    </row>
    <row r="1181" spans="2:9" hidden="1" x14ac:dyDescent="0.25">
      <c r="B1181" s="17">
        <v>2</v>
      </c>
      <c r="C1181" s="17" t="s">
        <v>55</v>
      </c>
      <c r="D1181" s="17" t="s">
        <v>40</v>
      </c>
      <c r="E1181" s="18" t="s">
        <v>2996</v>
      </c>
      <c r="F1181" s="17"/>
      <c r="G1181" s="17"/>
      <c r="H1181" s="17"/>
      <c r="I1181" s="18" t="s">
        <v>56</v>
      </c>
    </row>
    <row r="1182" spans="2:9" ht="31.5" x14ac:dyDescent="0.25">
      <c r="B1182" s="17">
        <v>1</v>
      </c>
      <c r="C1182" s="17" t="s">
        <v>1739</v>
      </c>
      <c r="D1182" s="17" t="s">
        <v>30</v>
      </c>
      <c r="E1182" s="18" t="s">
        <v>2997</v>
      </c>
      <c r="F1182" s="17" t="s">
        <v>31</v>
      </c>
      <c r="G1182" s="19" t="s">
        <v>521</v>
      </c>
      <c r="H1182" s="19" t="s">
        <v>45</v>
      </c>
      <c r="I1182" s="18" t="s">
        <v>1740</v>
      </c>
    </row>
    <row r="1183" spans="2:9" hidden="1" x14ac:dyDescent="0.25">
      <c r="B1183" s="17">
        <v>2</v>
      </c>
      <c r="C1183" s="17" t="s">
        <v>139</v>
      </c>
      <c r="D1183" s="17" t="s">
        <v>42</v>
      </c>
      <c r="E1183" s="18" t="s">
        <v>2998</v>
      </c>
      <c r="F1183" s="17"/>
      <c r="G1183" s="17"/>
      <c r="H1183" s="17"/>
      <c r="I1183" s="18" t="s">
        <v>140</v>
      </c>
    </row>
    <row r="1184" spans="2:9" hidden="1" x14ac:dyDescent="0.25">
      <c r="B1184" s="17">
        <v>2</v>
      </c>
      <c r="C1184" s="17" t="s">
        <v>1741</v>
      </c>
      <c r="D1184" s="17" t="s">
        <v>40</v>
      </c>
      <c r="E1184" s="18" t="s">
        <v>2999</v>
      </c>
      <c r="F1184" s="17"/>
      <c r="G1184" s="17"/>
      <c r="H1184" s="17"/>
      <c r="I1184" s="18" t="s">
        <v>1742</v>
      </c>
    </row>
    <row r="1185" spans="2:9" hidden="1" x14ac:dyDescent="0.25">
      <c r="B1185" s="17">
        <v>2</v>
      </c>
      <c r="C1185" s="17" t="s">
        <v>1743</v>
      </c>
      <c r="D1185" s="17" t="s">
        <v>40</v>
      </c>
      <c r="E1185" s="18" t="s">
        <v>3000</v>
      </c>
      <c r="F1185" s="17"/>
      <c r="G1185" s="17"/>
      <c r="H1185" s="17"/>
      <c r="I1185" s="18" t="s">
        <v>1744</v>
      </c>
    </row>
    <row r="1186" spans="2:9" hidden="1" x14ac:dyDescent="0.25">
      <c r="B1186" s="17">
        <v>2</v>
      </c>
      <c r="C1186" s="17" t="s">
        <v>1745</v>
      </c>
      <c r="D1186" s="17" t="s">
        <v>40</v>
      </c>
      <c r="E1186" s="18" t="s">
        <v>3001</v>
      </c>
      <c r="F1186" s="17"/>
      <c r="G1186" s="17"/>
      <c r="H1186" s="17"/>
      <c r="I1186" s="18" t="s">
        <v>71</v>
      </c>
    </row>
    <row r="1187" spans="2:9" hidden="1" x14ac:dyDescent="0.25">
      <c r="B1187" s="17">
        <v>2</v>
      </c>
      <c r="C1187" s="17" t="s">
        <v>1746</v>
      </c>
      <c r="D1187" s="17" t="s">
        <v>30</v>
      </c>
      <c r="E1187" s="18" t="s">
        <v>3002</v>
      </c>
      <c r="F1187" s="17"/>
      <c r="G1187" s="17"/>
      <c r="H1187" s="17"/>
      <c r="I1187" s="18" t="s">
        <v>1747</v>
      </c>
    </row>
    <row r="1188" spans="2:9" hidden="1" x14ac:dyDescent="0.25">
      <c r="B1188" s="17">
        <v>2</v>
      </c>
      <c r="C1188" s="17" t="s">
        <v>1748</v>
      </c>
      <c r="D1188" s="17" t="s">
        <v>40</v>
      </c>
      <c r="E1188" s="18" t="s">
        <v>3003</v>
      </c>
      <c r="F1188" s="17"/>
      <c r="G1188" s="17"/>
      <c r="H1188" s="17"/>
      <c r="I1188" s="18" t="s">
        <v>1749</v>
      </c>
    </row>
    <row r="1189" spans="2:9" hidden="1" x14ac:dyDescent="0.25">
      <c r="B1189" s="17">
        <v>3</v>
      </c>
      <c r="C1189" s="17" t="s">
        <v>124</v>
      </c>
      <c r="D1189" s="17" t="s">
        <v>49</v>
      </c>
      <c r="E1189" s="18" t="s">
        <v>3004</v>
      </c>
      <c r="F1189" s="17"/>
      <c r="G1189" s="17"/>
      <c r="H1189" s="17"/>
      <c r="I1189" s="18" t="s">
        <v>125</v>
      </c>
    </row>
    <row r="1190" spans="2:9" hidden="1" x14ac:dyDescent="0.25">
      <c r="B1190" s="17">
        <v>3</v>
      </c>
      <c r="C1190" s="17" t="s">
        <v>1750</v>
      </c>
      <c r="D1190" s="17" t="s">
        <v>40</v>
      </c>
      <c r="E1190" s="18" t="s">
        <v>3005</v>
      </c>
      <c r="F1190" s="17"/>
      <c r="G1190" s="17"/>
      <c r="H1190" s="17"/>
      <c r="I1190" s="18" t="s">
        <v>1751</v>
      </c>
    </row>
    <row r="1191" spans="2:9" hidden="1" x14ac:dyDescent="0.25">
      <c r="B1191" s="17">
        <v>2</v>
      </c>
      <c r="C1191" s="17" t="s">
        <v>1752</v>
      </c>
      <c r="D1191" s="17" t="s">
        <v>30</v>
      </c>
      <c r="E1191" s="18" t="s">
        <v>3006</v>
      </c>
      <c r="F1191" s="17"/>
      <c r="G1191" s="17"/>
      <c r="H1191" s="17"/>
      <c r="I1191" s="18" t="s">
        <v>1753</v>
      </c>
    </row>
    <row r="1192" spans="2:9" hidden="1" x14ac:dyDescent="0.25">
      <c r="B1192" s="17">
        <v>2</v>
      </c>
      <c r="C1192" s="17" t="s">
        <v>1754</v>
      </c>
      <c r="D1192" s="17" t="s">
        <v>40</v>
      </c>
      <c r="E1192" s="18" t="s">
        <v>3007</v>
      </c>
      <c r="F1192" s="17"/>
      <c r="G1192" s="17"/>
      <c r="H1192" s="17"/>
      <c r="I1192" s="18" t="s">
        <v>1755</v>
      </c>
    </row>
    <row r="1193" spans="2:9" hidden="1" x14ac:dyDescent="0.25">
      <c r="B1193" s="17">
        <v>2</v>
      </c>
      <c r="C1193" s="17" t="s">
        <v>1756</v>
      </c>
      <c r="D1193" s="17" t="s">
        <v>30</v>
      </c>
      <c r="E1193" s="18" t="s">
        <v>3008</v>
      </c>
      <c r="F1193" s="17"/>
      <c r="G1193" s="17"/>
      <c r="H1193" s="17"/>
      <c r="I1193" s="18" t="s">
        <v>1755</v>
      </c>
    </row>
    <row r="1194" spans="2:9" hidden="1" x14ac:dyDescent="0.25">
      <c r="B1194" s="17">
        <v>2</v>
      </c>
      <c r="C1194" s="17" t="s">
        <v>1757</v>
      </c>
      <c r="D1194" s="17" t="s">
        <v>30</v>
      </c>
      <c r="E1194" s="18" t="s">
        <v>3009</v>
      </c>
      <c r="F1194" s="17"/>
      <c r="G1194" s="17"/>
      <c r="H1194" s="17"/>
      <c r="I1194" s="18" t="s">
        <v>1747</v>
      </c>
    </row>
    <row r="1195" spans="2:9" hidden="1" x14ac:dyDescent="0.25">
      <c r="B1195" s="17">
        <v>2</v>
      </c>
      <c r="C1195" s="17" t="s">
        <v>1758</v>
      </c>
      <c r="D1195" s="17" t="s">
        <v>30</v>
      </c>
      <c r="E1195" s="18" t="s">
        <v>3010</v>
      </c>
      <c r="F1195" s="17"/>
      <c r="G1195" s="17"/>
      <c r="H1195" s="17"/>
      <c r="I1195" s="18" t="s">
        <v>1759</v>
      </c>
    </row>
    <row r="1196" spans="2:9" hidden="1" x14ac:dyDescent="0.25">
      <c r="B1196" s="17">
        <v>2</v>
      </c>
      <c r="C1196" s="17" t="s">
        <v>144</v>
      </c>
      <c r="D1196" s="17" t="s">
        <v>30</v>
      </c>
      <c r="E1196" s="18" t="s">
        <v>3011</v>
      </c>
      <c r="F1196" s="17"/>
      <c r="G1196" s="17"/>
      <c r="H1196" s="17"/>
      <c r="I1196" s="18" t="s">
        <v>145</v>
      </c>
    </row>
    <row r="1197" spans="2:9" hidden="1" x14ac:dyDescent="0.25">
      <c r="B1197" s="17">
        <v>2</v>
      </c>
      <c r="C1197" s="17" t="s">
        <v>59</v>
      </c>
      <c r="D1197" s="17" t="s">
        <v>42</v>
      </c>
      <c r="E1197" s="18" t="s">
        <v>171</v>
      </c>
      <c r="F1197" s="17"/>
      <c r="G1197" s="17"/>
      <c r="H1197" s="17"/>
      <c r="I1197" s="18" t="s">
        <v>431</v>
      </c>
    </row>
    <row r="1198" spans="2:9" hidden="1" x14ac:dyDescent="0.25">
      <c r="B1198" s="17">
        <v>1</v>
      </c>
      <c r="C1198" s="17" t="s">
        <v>1760</v>
      </c>
      <c r="D1198" s="17" t="s">
        <v>30</v>
      </c>
      <c r="E1198" s="18" t="s">
        <v>3012</v>
      </c>
      <c r="F1198" s="17"/>
      <c r="G1198" s="17"/>
      <c r="H1198" s="17"/>
      <c r="I1198" s="18" t="s">
        <v>1761</v>
      </c>
    </row>
    <row r="1199" spans="2:9" hidden="1" x14ac:dyDescent="0.25">
      <c r="B1199" s="17">
        <v>2</v>
      </c>
      <c r="C1199" s="17" t="s">
        <v>1762</v>
      </c>
      <c r="D1199" s="17" t="s">
        <v>42</v>
      </c>
      <c r="E1199" s="18" t="s">
        <v>3013</v>
      </c>
      <c r="F1199" s="17"/>
      <c r="G1199" s="17"/>
      <c r="H1199" s="17"/>
      <c r="I1199" s="18" t="s">
        <v>441</v>
      </c>
    </row>
    <row r="1200" spans="2:9" hidden="1" x14ac:dyDescent="0.25">
      <c r="B1200" s="17">
        <v>2</v>
      </c>
      <c r="C1200" s="17" t="s">
        <v>1763</v>
      </c>
      <c r="D1200" s="17" t="s">
        <v>30</v>
      </c>
      <c r="E1200" s="18" t="s">
        <v>3014</v>
      </c>
      <c r="F1200" s="17"/>
      <c r="G1200" s="17"/>
      <c r="H1200" s="17"/>
      <c r="I1200" s="18" t="s">
        <v>1764</v>
      </c>
    </row>
    <row r="1201" spans="2:9" x14ac:dyDescent="0.25">
      <c r="B1201" s="17">
        <v>1</v>
      </c>
      <c r="C1201" s="17" t="s">
        <v>1765</v>
      </c>
      <c r="D1201" s="17" t="s">
        <v>43</v>
      </c>
      <c r="E1201" s="18" t="s">
        <v>3015</v>
      </c>
      <c r="F1201" s="17" t="s">
        <v>394</v>
      </c>
      <c r="G1201" s="17" t="s">
        <v>394</v>
      </c>
      <c r="H1201" s="17" t="s">
        <v>46</v>
      </c>
      <c r="I1201" s="18" t="s">
        <v>1766</v>
      </c>
    </row>
    <row r="1202" spans="2:9" hidden="1" x14ac:dyDescent="0.25">
      <c r="B1202" s="17">
        <v>2</v>
      </c>
      <c r="C1202" s="17" t="s">
        <v>396</v>
      </c>
      <c r="D1202" s="17" t="s">
        <v>40</v>
      </c>
      <c r="E1202" s="18" t="s">
        <v>3016</v>
      </c>
      <c r="F1202" s="17"/>
      <c r="G1202" s="17"/>
      <c r="H1202" s="17"/>
      <c r="I1202" s="18" t="s">
        <v>397</v>
      </c>
    </row>
    <row r="1203" spans="2:9" hidden="1" x14ac:dyDescent="0.25">
      <c r="B1203" s="17">
        <v>2</v>
      </c>
      <c r="C1203" s="17" t="s">
        <v>398</v>
      </c>
      <c r="D1203" s="17" t="s">
        <v>42</v>
      </c>
      <c r="E1203" s="18" t="s">
        <v>3017</v>
      </c>
      <c r="F1203" s="17"/>
      <c r="G1203" s="17"/>
      <c r="H1203" s="17"/>
      <c r="I1203" s="18" t="s">
        <v>399</v>
      </c>
    </row>
    <row r="1204" spans="2:9" hidden="1" x14ac:dyDescent="0.25">
      <c r="B1204" s="17">
        <v>3</v>
      </c>
      <c r="C1204" s="17" t="s">
        <v>400</v>
      </c>
      <c r="D1204" s="17" t="s">
        <v>42</v>
      </c>
      <c r="E1204" s="18" t="s">
        <v>3018</v>
      </c>
      <c r="F1204" s="17"/>
      <c r="G1204" s="17"/>
      <c r="H1204" s="17"/>
      <c r="I1204" s="18" t="s">
        <v>401</v>
      </c>
    </row>
    <row r="1205" spans="2:9" hidden="1" x14ac:dyDescent="0.25">
      <c r="B1205" s="17">
        <v>3</v>
      </c>
      <c r="C1205" s="17" t="s">
        <v>402</v>
      </c>
      <c r="D1205" s="17" t="s">
        <v>42</v>
      </c>
      <c r="E1205" s="18" t="s">
        <v>3019</v>
      </c>
      <c r="F1205" s="17"/>
      <c r="G1205" s="17"/>
      <c r="H1205" s="17"/>
      <c r="I1205" s="18" t="s">
        <v>403</v>
      </c>
    </row>
    <row r="1206" spans="2:9" hidden="1" x14ac:dyDescent="0.25">
      <c r="B1206" s="17">
        <v>4</v>
      </c>
      <c r="C1206" s="17" t="s">
        <v>404</v>
      </c>
      <c r="D1206" s="17" t="s">
        <v>30</v>
      </c>
      <c r="E1206" s="18" t="s">
        <v>3020</v>
      </c>
      <c r="F1206" s="17"/>
      <c r="G1206" s="17"/>
      <c r="H1206" s="17"/>
      <c r="I1206" s="18" t="s">
        <v>405</v>
      </c>
    </row>
    <row r="1207" spans="2:9" hidden="1" x14ac:dyDescent="0.25">
      <c r="B1207" s="17">
        <v>4</v>
      </c>
      <c r="C1207" s="17" t="s">
        <v>406</v>
      </c>
      <c r="D1207" s="17" t="s">
        <v>42</v>
      </c>
      <c r="E1207" s="18" t="s">
        <v>3021</v>
      </c>
      <c r="F1207" s="17"/>
      <c r="G1207" s="17"/>
      <c r="H1207" s="17"/>
      <c r="I1207" s="18" t="s">
        <v>407</v>
      </c>
    </row>
    <row r="1208" spans="2:9" hidden="1" x14ac:dyDescent="0.25">
      <c r="B1208" s="17">
        <v>3</v>
      </c>
      <c r="C1208" s="17" t="s">
        <v>408</v>
      </c>
      <c r="D1208" s="17" t="s">
        <v>30</v>
      </c>
      <c r="E1208" s="18" t="s">
        <v>3022</v>
      </c>
      <c r="F1208" s="17"/>
      <c r="G1208" s="17"/>
      <c r="H1208" s="17"/>
      <c r="I1208" s="18" t="s">
        <v>142</v>
      </c>
    </row>
    <row r="1209" spans="2:9" hidden="1" x14ac:dyDescent="0.25">
      <c r="B1209" s="17">
        <v>3</v>
      </c>
      <c r="C1209" s="17" t="s">
        <v>409</v>
      </c>
      <c r="D1209" s="17" t="s">
        <v>30</v>
      </c>
      <c r="E1209" s="18" t="s">
        <v>3023</v>
      </c>
      <c r="F1209" s="17"/>
      <c r="G1209" s="17"/>
      <c r="H1209" s="17"/>
      <c r="I1209" s="18" t="s">
        <v>410</v>
      </c>
    </row>
    <row r="1210" spans="2:9" hidden="1" x14ac:dyDescent="0.25">
      <c r="B1210" s="17">
        <v>2</v>
      </c>
      <c r="C1210" s="17" t="s">
        <v>411</v>
      </c>
      <c r="D1210" s="17" t="s">
        <v>40</v>
      </c>
      <c r="E1210" s="18" t="s">
        <v>3024</v>
      </c>
      <c r="F1210" s="17"/>
      <c r="G1210" s="17"/>
      <c r="H1210" s="17"/>
      <c r="I1210" s="18" t="s">
        <v>412</v>
      </c>
    </row>
    <row r="1211" spans="2:9" hidden="1" x14ac:dyDescent="0.25">
      <c r="B1211" s="17">
        <v>2</v>
      </c>
      <c r="C1211" s="17" t="s">
        <v>50</v>
      </c>
      <c r="D1211" s="17" t="s">
        <v>40</v>
      </c>
      <c r="E1211" s="18" t="s">
        <v>3025</v>
      </c>
      <c r="F1211" s="17"/>
      <c r="G1211" s="17"/>
      <c r="H1211" s="17"/>
      <c r="I1211" s="18" t="s">
        <v>51</v>
      </c>
    </row>
    <row r="1212" spans="2:9" hidden="1" x14ac:dyDescent="0.25">
      <c r="B1212" s="17">
        <v>2</v>
      </c>
      <c r="C1212" s="17" t="s">
        <v>1767</v>
      </c>
      <c r="D1212" s="17" t="s">
        <v>30</v>
      </c>
      <c r="E1212" s="18" t="s">
        <v>3026</v>
      </c>
      <c r="F1212" s="17"/>
      <c r="G1212" s="17"/>
      <c r="H1212" s="17"/>
      <c r="I1212" s="18" t="s">
        <v>53</v>
      </c>
    </row>
    <row r="1213" spans="2:9" hidden="1" x14ac:dyDescent="0.25">
      <c r="B1213" s="17">
        <v>2</v>
      </c>
      <c r="C1213" s="17" t="s">
        <v>1768</v>
      </c>
      <c r="D1213" s="17" t="s">
        <v>30</v>
      </c>
      <c r="E1213" s="18" t="s">
        <v>3027</v>
      </c>
      <c r="F1213" s="17"/>
      <c r="G1213" s="17"/>
      <c r="H1213" s="17"/>
      <c r="I1213" s="18" t="s">
        <v>53</v>
      </c>
    </row>
    <row r="1214" spans="2:9" hidden="1" x14ac:dyDescent="0.25">
      <c r="B1214" s="17">
        <v>2</v>
      </c>
      <c r="C1214" s="17" t="s">
        <v>1769</v>
      </c>
      <c r="D1214" s="17" t="s">
        <v>44</v>
      </c>
      <c r="E1214" s="18" t="s">
        <v>3028</v>
      </c>
      <c r="F1214" s="17"/>
      <c r="G1214" s="17"/>
      <c r="H1214" s="17"/>
      <c r="I1214" s="18" t="s">
        <v>1770</v>
      </c>
    </row>
    <row r="1215" spans="2:9" hidden="1" x14ac:dyDescent="0.25">
      <c r="B1215" s="17">
        <v>3</v>
      </c>
      <c r="C1215" s="17" t="s">
        <v>124</v>
      </c>
      <c r="D1215" s="17" t="s">
        <v>49</v>
      </c>
      <c r="E1215" s="18" t="s">
        <v>3004</v>
      </c>
      <c r="F1215" s="17"/>
      <c r="G1215" s="17"/>
      <c r="H1215" s="17"/>
      <c r="I1215" s="18" t="s">
        <v>125</v>
      </c>
    </row>
    <row r="1216" spans="2:9" hidden="1" x14ac:dyDescent="0.25">
      <c r="B1216" s="17">
        <v>3</v>
      </c>
      <c r="C1216" s="17" t="s">
        <v>417</v>
      </c>
      <c r="D1216" s="17" t="s">
        <v>49</v>
      </c>
      <c r="E1216" s="18" t="s">
        <v>3029</v>
      </c>
      <c r="F1216" s="17"/>
      <c r="G1216" s="17"/>
      <c r="H1216" s="17"/>
      <c r="I1216" s="18" t="s">
        <v>125</v>
      </c>
    </row>
    <row r="1217" spans="2:9" hidden="1" x14ac:dyDescent="0.25">
      <c r="B1217" s="17">
        <v>3</v>
      </c>
      <c r="C1217" s="17" t="s">
        <v>1771</v>
      </c>
      <c r="D1217" s="17" t="s">
        <v>44</v>
      </c>
      <c r="E1217" s="18" t="s">
        <v>3030</v>
      </c>
      <c r="F1217" s="17"/>
      <c r="G1217" s="17"/>
      <c r="H1217" s="17"/>
      <c r="I1217" s="18" t="s">
        <v>1772</v>
      </c>
    </row>
    <row r="1218" spans="2:9" hidden="1" x14ac:dyDescent="0.25">
      <c r="B1218" s="17">
        <v>2</v>
      </c>
      <c r="C1218" s="17" t="s">
        <v>1773</v>
      </c>
      <c r="D1218" s="17" t="s">
        <v>30</v>
      </c>
      <c r="E1218" s="18" t="s">
        <v>3031</v>
      </c>
      <c r="F1218" s="17"/>
      <c r="G1218" s="17"/>
      <c r="H1218" s="17"/>
      <c r="I1218" s="18" t="s">
        <v>1774</v>
      </c>
    </row>
    <row r="1219" spans="2:9" hidden="1" x14ac:dyDescent="0.25">
      <c r="B1219" s="17">
        <v>2</v>
      </c>
      <c r="C1219" s="17" t="s">
        <v>1775</v>
      </c>
      <c r="D1219" s="17" t="s">
        <v>30</v>
      </c>
      <c r="E1219" s="18" t="s">
        <v>3032</v>
      </c>
      <c r="F1219" s="17"/>
      <c r="G1219" s="17"/>
      <c r="H1219" s="17"/>
      <c r="I1219" s="18" t="s">
        <v>1776</v>
      </c>
    </row>
    <row r="1220" spans="2:9" hidden="1" x14ac:dyDescent="0.25">
      <c r="B1220" s="17">
        <v>2</v>
      </c>
      <c r="C1220" s="17" t="s">
        <v>1777</v>
      </c>
      <c r="D1220" s="17" t="s">
        <v>30</v>
      </c>
      <c r="E1220" s="18" t="s">
        <v>3033</v>
      </c>
      <c r="F1220" s="17"/>
      <c r="G1220" s="17"/>
      <c r="H1220" s="17"/>
      <c r="I1220" s="18" t="s">
        <v>1778</v>
      </c>
    </row>
    <row r="1221" spans="2:9" hidden="1" x14ac:dyDescent="0.25">
      <c r="B1221" s="17">
        <v>2</v>
      </c>
      <c r="C1221" s="17" t="s">
        <v>1779</v>
      </c>
      <c r="D1221" s="17" t="s">
        <v>30</v>
      </c>
      <c r="E1221" s="18" t="s">
        <v>3034</v>
      </c>
      <c r="F1221" s="17"/>
      <c r="G1221" s="17"/>
      <c r="H1221" s="17"/>
      <c r="I1221" s="18" t="s">
        <v>1778</v>
      </c>
    </row>
    <row r="1222" spans="2:9" hidden="1" x14ac:dyDescent="0.25">
      <c r="B1222" s="17">
        <v>2</v>
      </c>
      <c r="C1222" s="17" t="s">
        <v>1780</v>
      </c>
      <c r="D1222" s="17" t="s">
        <v>30</v>
      </c>
      <c r="E1222" s="18" t="s">
        <v>3035</v>
      </c>
      <c r="F1222" s="17"/>
      <c r="G1222" s="17"/>
      <c r="H1222" s="17"/>
      <c r="I1222" s="18" t="s">
        <v>1778</v>
      </c>
    </row>
    <row r="1223" spans="2:9" hidden="1" x14ac:dyDescent="0.25">
      <c r="B1223" s="17">
        <v>2</v>
      </c>
      <c r="C1223" s="17" t="s">
        <v>1781</v>
      </c>
      <c r="D1223" s="17" t="s">
        <v>30</v>
      </c>
      <c r="E1223" s="18" t="s">
        <v>3036</v>
      </c>
      <c r="F1223" s="17"/>
      <c r="G1223" s="17"/>
      <c r="H1223" s="17"/>
      <c r="I1223" s="18" t="s">
        <v>1774</v>
      </c>
    </row>
    <row r="1224" spans="2:9" hidden="1" x14ac:dyDescent="0.25">
      <c r="B1224" s="17">
        <v>2</v>
      </c>
      <c r="C1224" s="17" t="s">
        <v>424</v>
      </c>
      <c r="D1224" s="17" t="s">
        <v>30</v>
      </c>
      <c r="E1224" s="18" t="s">
        <v>3037</v>
      </c>
      <c r="F1224" s="17"/>
      <c r="G1224" s="17"/>
      <c r="H1224" s="17"/>
      <c r="I1224" s="18" t="s">
        <v>425</v>
      </c>
    </row>
    <row r="1225" spans="2:9" hidden="1" x14ac:dyDescent="0.25">
      <c r="B1225" s="17">
        <v>2</v>
      </c>
      <c r="C1225" s="17" t="s">
        <v>426</v>
      </c>
      <c r="D1225" s="17" t="s">
        <v>40</v>
      </c>
      <c r="E1225" s="18" t="s">
        <v>3038</v>
      </c>
      <c r="F1225" s="17"/>
      <c r="G1225" s="17"/>
      <c r="H1225" s="17"/>
      <c r="I1225" s="18" t="s">
        <v>427</v>
      </c>
    </row>
    <row r="1226" spans="2:9" hidden="1" x14ac:dyDescent="0.25">
      <c r="B1226" s="17">
        <v>2</v>
      </c>
      <c r="C1226" s="17" t="s">
        <v>55</v>
      </c>
      <c r="D1226" s="17" t="s">
        <v>40</v>
      </c>
      <c r="E1226" s="18" t="s">
        <v>2996</v>
      </c>
      <c r="F1226" s="17"/>
      <c r="G1226" s="17"/>
      <c r="H1226" s="17"/>
      <c r="I1226" s="18" t="s">
        <v>56</v>
      </c>
    </row>
    <row r="1227" spans="2:9" hidden="1" x14ac:dyDescent="0.25">
      <c r="B1227" s="17">
        <v>2</v>
      </c>
      <c r="C1227" s="17" t="s">
        <v>429</v>
      </c>
      <c r="D1227" s="17" t="s">
        <v>30</v>
      </c>
      <c r="E1227" s="18" t="s">
        <v>3039</v>
      </c>
      <c r="F1227" s="17"/>
      <c r="G1227" s="17"/>
      <c r="H1227" s="17"/>
      <c r="I1227" s="18" t="s">
        <v>430</v>
      </c>
    </row>
    <row r="1228" spans="2:9" hidden="1" x14ac:dyDescent="0.25">
      <c r="B1228" s="17">
        <v>2</v>
      </c>
      <c r="C1228" s="17" t="s">
        <v>59</v>
      </c>
      <c r="D1228" s="17" t="s">
        <v>42</v>
      </c>
      <c r="E1228" s="18" t="s">
        <v>171</v>
      </c>
      <c r="F1228" s="17"/>
      <c r="G1228" s="17"/>
      <c r="H1228" s="17"/>
      <c r="I1228" s="18" t="s">
        <v>431</v>
      </c>
    </row>
    <row r="1229" spans="2:9" ht="31.5" x14ac:dyDescent="0.25">
      <c r="B1229" s="17">
        <v>1</v>
      </c>
      <c r="C1229" s="17" t="s">
        <v>1782</v>
      </c>
      <c r="D1229" s="17" t="s">
        <v>30</v>
      </c>
      <c r="E1229" s="18" t="s">
        <v>3040</v>
      </c>
      <c r="F1229" s="17" t="s">
        <v>1595</v>
      </c>
      <c r="G1229" s="19" t="s">
        <v>1666</v>
      </c>
      <c r="H1229" s="19" t="s">
        <v>45</v>
      </c>
      <c r="I1229" s="18" t="s">
        <v>1783</v>
      </c>
    </row>
    <row r="1230" spans="2:9" hidden="1" x14ac:dyDescent="0.25">
      <c r="B1230" s="17">
        <v>2</v>
      </c>
      <c r="C1230" s="17" t="s">
        <v>854</v>
      </c>
      <c r="D1230" s="17" t="s">
        <v>42</v>
      </c>
      <c r="E1230" s="18" t="s">
        <v>2942</v>
      </c>
      <c r="F1230" s="17"/>
      <c r="G1230" s="17"/>
      <c r="H1230" s="17"/>
      <c r="I1230" s="18" t="s">
        <v>344</v>
      </c>
    </row>
    <row r="1231" spans="2:9" hidden="1" x14ac:dyDescent="0.25">
      <c r="B1231" s="17">
        <v>2</v>
      </c>
      <c r="C1231" s="17" t="s">
        <v>1784</v>
      </c>
      <c r="D1231" s="17" t="s">
        <v>30</v>
      </c>
      <c r="E1231" s="18" t="s">
        <v>3041</v>
      </c>
      <c r="F1231" s="17"/>
      <c r="G1231" s="17"/>
      <c r="H1231" s="17"/>
      <c r="I1231" s="18" t="s">
        <v>1785</v>
      </c>
    </row>
    <row r="1232" spans="2:9" hidden="1" x14ac:dyDescent="0.25">
      <c r="B1232" s="17">
        <v>3</v>
      </c>
      <c r="C1232" s="17" t="s">
        <v>1670</v>
      </c>
      <c r="D1232" s="17" t="s">
        <v>30</v>
      </c>
      <c r="E1232" s="18" t="s">
        <v>2948</v>
      </c>
      <c r="F1232" s="17"/>
      <c r="G1232" s="17"/>
      <c r="H1232" s="17"/>
      <c r="I1232" s="18" t="s">
        <v>1671</v>
      </c>
    </row>
    <row r="1233" spans="2:9" hidden="1" x14ac:dyDescent="0.25">
      <c r="B1233" s="17">
        <v>3</v>
      </c>
      <c r="C1233" s="17" t="s">
        <v>1069</v>
      </c>
      <c r="D1233" s="17" t="s">
        <v>49</v>
      </c>
      <c r="E1233" s="18" t="s">
        <v>2949</v>
      </c>
      <c r="F1233" s="17"/>
      <c r="G1233" s="17"/>
      <c r="H1233" s="17"/>
      <c r="I1233" s="18" t="s">
        <v>123</v>
      </c>
    </row>
    <row r="1234" spans="2:9" hidden="1" x14ac:dyDescent="0.25">
      <c r="B1234" s="17">
        <v>3</v>
      </c>
      <c r="C1234" s="17" t="s">
        <v>1786</v>
      </c>
      <c r="D1234" s="17" t="s">
        <v>49</v>
      </c>
      <c r="E1234" s="18" t="s">
        <v>3042</v>
      </c>
      <c r="F1234" s="17"/>
      <c r="G1234" s="17"/>
      <c r="H1234" s="17"/>
      <c r="I1234" s="18" t="s">
        <v>1787</v>
      </c>
    </row>
    <row r="1235" spans="2:9" hidden="1" x14ac:dyDescent="0.25">
      <c r="B1235" s="17">
        <v>3</v>
      </c>
      <c r="C1235" s="17" t="s">
        <v>1788</v>
      </c>
      <c r="D1235" s="17" t="s">
        <v>30</v>
      </c>
      <c r="E1235" s="18" t="s">
        <v>3043</v>
      </c>
      <c r="F1235" s="17"/>
      <c r="G1235" s="17"/>
      <c r="H1235" s="17"/>
      <c r="I1235" s="18" t="s">
        <v>1789</v>
      </c>
    </row>
    <row r="1236" spans="2:9" hidden="1" x14ac:dyDescent="0.25">
      <c r="B1236" s="17">
        <v>2</v>
      </c>
      <c r="C1236" s="17" t="s">
        <v>1790</v>
      </c>
      <c r="D1236" s="17" t="s">
        <v>40</v>
      </c>
      <c r="E1236" s="18" t="s">
        <v>3044</v>
      </c>
      <c r="F1236" s="17"/>
      <c r="G1236" s="17"/>
      <c r="H1236" s="17"/>
      <c r="I1236" s="18" t="s">
        <v>1791</v>
      </c>
    </row>
    <row r="1237" spans="2:9" hidden="1" x14ac:dyDescent="0.25">
      <c r="B1237" s="17">
        <v>2</v>
      </c>
      <c r="C1237" s="17" t="s">
        <v>1792</v>
      </c>
      <c r="D1237" s="17" t="s">
        <v>30</v>
      </c>
      <c r="E1237" s="18" t="s">
        <v>3045</v>
      </c>
      <c r="F1237" s="17"/>
      <c r="G1237" s="17"/>
      <c r="H1237" s="17"/>
      <c r="I1237" s="18" t="s">
        <v>1524</v>
      </c>
    </row>
    <row r="1238" spans="2:9" hidden="1" x14ac:dyDescent="0.25">
      <c r="B1238" s="17">
        <v>2</v>
      </c>
      <c r="C1238" s="17" t="s">
        <v>1793</v>
      </c>
      <c r="D1238" s="17" t="s">
        <v>30</v>
      </c>
      <c r="E1238" s="18" t="s">
        <v>3046</v>
      </c>
      <c r="F1238" s="17"/>
      <c r="G1238" s="17"/>
      <c r="H1238" s="17"/>
      <c r="I1238" s="18" t="s">
        <v>1794</v>
      </c>
    </row>
    <row r="1239" spans="2:9" hidden="1" x14ac:dyDescent="0.25">
      <c r="B1239" s="17">
        <v>3</v>
      </c>
      <c r="C1239" s="17" t="s">
        <v>1795</v>
      </c>
      <c r="D1239" s="17" t="s">
        <v>30</v>
      </c>
      <c r="E1239" s="18" t="s">
        <v>3047</v>
      </c>
      <c r="F1239" s="17"/>
      <c r="G1239" s="17"/>
      <c r="H1239" s="17"/>
      <c r="I1239" s="18" t="s">
        <v>1796</v>
      </c>
    </row>
    <row r="1240" spans="2:9" hidden="1" x14ac:dyDescent="0.25">
      <c r="B1240" s="17">
        <v>3</v>
      </c>
      <c r="C1240" s="17" t="s">
        <v>1797</v>
      </c>
      <c r="D1240" s="17" t="s">
        <v>42</v>
      </c>
      <c r="E1240" s="18" t="s">
        <v>3048</v>
      </c>
      <c r="F1240" s="17"/>
      <c r="G1240" s="17"/>
      <c r="H1240" s="17"/>
      <c r="I1240" s="18" t="s">
        <v>1798</v>
      </c>
    </row>
    <row r="1241" spans="2:9" hidden="1" x14ac:dyDescent="0.25">
      <c r="B1241" s="17">
        <v>3</v>
      </c>
      <c r="C1241" s="17" t="s">
        <v>1799</v>
      </c>
      <c r="D1241" s="17" t="s">
        <v>40</v>
      </c>
      <c r="E1241" s="18" t="s">
        <v>3049</v>
      </c>
      <c r="F1241" s="17"/>
      <c r="G1241" s="17"/>
      <c r="H1241" s="17"/>
      <c r="I1241" s="18" t="s">
        <v>1800</v>
      </c>
    </row>
    <row r="1242" spans="2:9" hidden="1" x14ac:dyDescent="0.25">
      <c r="B1242" s="17">
        <v>3</v>
      </c>
      <c r="C1242" s="17" t="s">
        <v>1801</v>
      </c>
      <c r="D1242" s="17" t="s">
        <v>40</v>
      </c>
      <c r="E1242" s="18" t="s">
        <v>3050</v>
      </c>
      <c r="F1242" s="17"/>
      <c r="G1242" s="17"/>
      <c r="H1242" s="17"/>
      <c r="I1242" s="18" t="s">
        <v>1802</v>
      </c>
    </row>
    <row r="1243" spans="2:9" hidden="1" x14ac:dyDescent="0.25">
      <c r="B1243" s="17">
        <v>3</v>
      </c>
      <c r="C1243" s="17" t="s">
        <v>1803</v>
      </c>
      <c r="D1243" s="17" t="s">
        <v>42</v>
      </c>
      <c r="E1243" s="18" t="s">
        <v>3051</v>
      </c>
      <c r="F1243" s="17"/>
      <c r="G1243" s="17"/>
      <c r="H1243" s="17"/>
      <c r="I1243" s="18" t="s">
        <v>1804</v>
      </c>
    </row>
    <row r="1244" spans="2:9" hidden="1" x14ac:dyDescent="0.25">
      <c r="B1244" s="17">
        <v>3</v>
      </c>
      <c r="C1244" s="17" t="s">
        <v>1805</v>
      </c>
      <c r="D1244" s="17" t="s">
        <v>30</v>
      </c>
      <c r="E1244" s="18" t="s">
        <v>3052</v>
      </c>
      <c r="F1244" s="17"/>
      <c r="G1244" s="17"/>
      <c r="H1244" s="17"/>
      <c r="I1244" s="18" t="s">
        <v>1806</v>
      </c>
    </row>
    <row r="1245" spans="2:9" hidden="1" x14ac:dyDescent="0.25">
      <c r="B1245" s="17">
        <v>3</v>
      </c>
      <c r="C1245" s="17" t="s">
        <v>1807</v>
      </c>
      <c r="D1245" s="17" t="s">
        <v>30</v>
      </c>
      <c r="E1245" s="18" t="s">
        <v>3053</v>
      </c>
      <c r="F1245" s="17"/>
      <c r="G1245" s="17"/>
      <c r="H1245" s="17"/>
      <c r="I1245" s="18" t="s">
        <v>1808</v>
      </c>
    </row>
    <row r="1246" spans="2:9" hidden="1" x14ac:dyDescent="0.25">
      <c r="B1246" s="17">
        <v>3</v>
      </c>
      <c r="C1246" s="17" t="s">
        <v>1081</v>
      </c>
      <c r="D1246" s="17" t="s">
        <v>40</v>
      </c>
      <c r="E1246" s="18" t="s">
        <v>3054</v>
      </c>
      <c r="F1246" s="17"/>
      <c r="G1246" s="17"/>
      <c r="H1246" s="17"/>
      <c r="I1246" s="18" t="s">
        <v>145</v>
      </c>
    </row>
    <row r="1247" spans="2:9" hidden="1" x14ac:dyDescent="0.25">
      <c r="B1247" s="17">
        <v>2</v>
      </c>
      <c r="C1247" s="17" t="s">
        <v>1809</v>
      </c>
      <c r="D1247" s="17" t="s">
        <v>30</v>
      </c>
      <c r="E1247" s="18" t="s">
        <v>3055</v>
      </c>
      <c r="F1247" s="17"/>
      <c r="G1247" s="17"/>
      <c r="H1247" s="17"/>
      <c r="I1247" s="18" t="s">
        <v>1037</v>
      </c>
    </row>
    <row r="1248" spans="2:9" hidden="1" x14ac:dyDescent="0.25">
      <c r="B1248" s="17">
        <v>2</v>
      </c>
      <c r="C1248" s="17" t="s">
        <v>1810</v>
      </c>
      <c r="D1248" s="17" t="s">
        <v>30</v>
      </c>
      <c r="E1248" s="18" t="s">
        <v>3056</v>
      </c>
      <c r="F1248" s="17"/>
      <c r="G1248" s="17"/>
      <c r="H1248" s="17"/>
      <c r="I1248" s="18" t="s">
        <v>1811</v>
      </c>
    </row>
    <row r="1249" spans="2:9" hidden="1" x14ac:dyDescent="0.25">
      <c r="B1249" s="17">
        <v>2</v>
      </c>
      <c r="C1249" s="17" t="s">
        <v>1812</v>
      </c>
      <c r="D1249" s="17" t="s">
        <v>30</v>
      </c>
      <c r="E1249" s="18" t="s">
        <v>3057</v>
      </c>
      <c r="F1249" s="17"/>
      <c r="G1249" s="17"/>
      <c r="H1249" s="17"/>
      <c r="I1249" s="18" t="s">
        <v>1813</v>
      </c>
    </row>
    <row r="1250" spans="2:9" hidden="1" x14ac:dyDescent="0.25">
      <c r="B1250" s="17">
        <v>2</v>
      </c>
      <c r="C1250" s="17" t="s">
        <v>1814</v>
      </c>
      <c r="D1250" s="17" t="s">
        <v>30</v>
      </c>
      <c r="E1250" s="18" t="s">
        <v>3058</v>
      </c>
      <c r="F1250" s="17"/>
      <c r="G1250" s="17"/>
      <c r="H1250" s="17"/>
      <c r="I1250" s="18" t="s">
        <v>1813</v>
      </c>
    </row>
    <row r="1251" spans="2:9" hidden="1" x14ac:dyDescent="0.25">
      <c r="B1251" s="17">
        <v>2</v>
      </c>
      <c r="C1251" s="17" t="s">
        <v>1815</v>
      </c>
      <c r="D1251" s="17" t="s">
        <v>30</v>
      </c>
      <c r="E1251" s="18" t="s">
        <v>3059</v>
      </c>
      <c r="F1251" s="17"/>
      <c r="G1251" s="17"/>
      <c r="H1251" s="17"/>
      <c r="I1251" s="18" t="s">
        <v>1816</v>
      </c>
    </row>
    <row r="1252" spans="2:9" hidden="1" x14ac:dyDescent="0.25">
      <c r="B1252" s="17">
        <v>2</v>
      </c>
      <c r="C1252" s="17" t="s">
        <v>1817</v>
      </c>
      <c r="D1252" s="17" t="s">
        <v>30</v>
      </c>
      <c r="E1252" s="18" t="s">
        <v>3060</v>
      </c>
      <c r="F1252" s="17"/>
      <c r="G1252" s="17"/>
      <c r="H1252" s="17"/>
      <c r="I1252" s="18" t="s">
        <v>1818</v>
      </c>
    </row>
    <row r="1253" spans="2:9" hidden="1" x14ac:dyDescent="0.25">
      <c r="B1253" s="17">
        <v>2</v>
      </c>
      <c r="C1253" s="17" t="s">
        <v>1819</v>
      </c>
      <c r="D1253" s="17" t="s">
        <v>30</v>
      </c>
      <c r="E1253" s="18" t="s">
        <v>3061</v>
      </c>
      <c r="F1253" s="17"/>
      <c r="G1253" s="17"/>
      <c r="H1253" s="17"/>
      <c r="I1253" s="18" t="s">
        <v>1053</v>
      </c>
    </row>
    <row r="1254" spans="2:9" hidden="1" x14ac:dyDescent="0.25">
      <c r="B1254" s="17">
        <v>2</v>
      </c>
      <c r="C1254" s="17" t="s">
        <v>1820</v>
      </c>
      <c r="D1254" s="17" t="s">
        <v>30</v>
      </c>
      <c r="E1254" s="18" t="s">
        <v>3062</v>
      </c>
      <c r="F1254" s="17"/>
      <c r="G1254" s="17"/>
      <c r="H1254" s="17"/>
      <c r="I1254" s="18" t="s">
        <v>1053</v>
      </c>
    </row>
    <row r="1255" spans="2:9" hidden="1" x14ac:dyDescent="0.25">
      <c r="B1255" s="17">
        <v>2</v>
      </c>
      <c r="C1255" s="17" t="s">
        <v>1052</v>
      </c>
      <c r="D1255" s="17" t="s">
        <v>30</v>
      </c>
      <c r="E1255" s="18" t="s">
        <v>3063</v>
      </c>
      <c r="F1255" s="17"/>
      <c r="G1255" s="17"/>
      <c r="H1255" s="17"/>
      <c r="I1255" s="18" t="s">
        <v>1053</v>
      </c>
    </row>
    <row r="1256" spans="2:9" hidden="1" x14ac:dyDescent="0.25">
      <c r="B1256" s="17">
        <v>2</v>
      </c>
      <c r="C1256" s="17" t="s">
        <v>107</v>
      </c>
      <c r="D1256" s="17" t="s">
        <v>40</v>
      </c>
      <c r="E1256" s="18" t="s">
        <v>2983</v>
      </c>
      <c r="F1256" s="17"/>
      <c r="G1256" s="17"/>
      <c r="H1256" s="17"/>
      <c r="I1256" s="18" t="s">
        <v>108</v>
      </c>
    </row>
    <row r="1257" spans="2:9" hidden="1" x14ac:dyDescent="0.25">
      <c r="B1257" s="17">
        <v>2</v>
      </c>
      <c r="C1257" s="17" t="s">
        <v>899</v>
      </c>
      <c r="D1257" s="17" t="s">
        <v>40</v>
      </c>
      <c r="E1257" s="18" t="s">
        <v>3064</v>
      </c>
      <c r="F1257" s="17"/>
      <c r="G1257" s="17"/>
      <c r="H1257" s="17"/>
      <c r="I1257" s="18" t="s">
        <v>900</v>
      </c>
    </row>
    <row r="1258" spans="2:9" hidden="1" x14ac:dyDescent="0.25">
      <c r="B1258" s="17">
        <v>1</v>
      </c>
      <c r="C1258" s="17" t="s">
        <v>1821</v>
      </c>
      <c r="D1258" s="17" t="s">
        <v>30</v>
      </c>
      <c r="E1258" s="18" t="s">
        <v>3065</v>
      </c>
      <c r="F1258" s="17"/>
      <c r="G1258" s="17"/>
      <c r="H1258" s="17"/>
      <c r="I1258" s="18" t="s">
        <v>1822</v>
      </c>
    </row>
    <row r="1259" spans="2:9" hidden="1" x14ac:dyDescent="0.25">
      <c r="B1259" s="17">
        <v>2</v>
      </c>
      <c r="C1259" s="17" t="s">
        <v>647</v>
      </c>
      <c r="D1259" s="17" t="s">
        <v>44</v>
      </c>
      <c r="E1259" s="18" t="s">
        <v>3066</v>
      </c>
      <c r="F1259" s="17"/>
      <c r="G1259" s="17"/>
      <c r="H1259" s="17"/>
      <c r="I1259" s="18" t="s">
        <v>1823</v>
      </c>
    </row>
    <row r="1260" spans="2:9" hidden="1" x14ac:dyDescent="0.25">
      <c r="B1260" s="17">
        <v>3</v>
      </c>
      <c r="C1260" s="17" t="s">
        <v>649</v>
      </c>
      <c r="D1260" s="17" t="s">
        <v>30</v>
      </c>
      <c r="E1260" s="18" t="s">
        <v>3067</v>
      </c>
      <c r="F1260" s="17"/>
      <c r="G1260" s="17"/>
      <c r="H1260" s="17"/>
      <c r="I1260" s="18" t="s">
        <v>650</v>
      </c>
    </row>
    <row r="1261" spans="2:9" hidden="1" x14ac:dyDescent="0.25">
      <c r="B1261" s="17">
        <v>3</v>
      </c>
      <c r="C1261" s="17" t="s">
        <v>651</v>
      </c>
      <c r="D1261" s="17" t="s">
        <v>30</v>
      </c>
      <c r="E1261" s="18" t="s">
        <v>3068</v>
      </c>
      <c r="F1261" s="17"/>
      <c r="G1261" s="17"/>
      <c r="H1261" s="17"/>
      <c r="I1261" s="18" t="s">
        <v>54</v>
      </c>
    </row>
    <row r="1262" spans="2:9" hidden="1" x14ac:dyDescent="0.25">
      <c r="B1262" s="17">
        <v>1</v>
      </c>
      <c r="C1262" s="17" t="s">
        <v>1824</v>
      </c>
      <c r="D1262" s="17" t="s">
        <v>30</v>
      </c>
      <c r="E1262" s="18" t="s">
        <v>3069</v>
      </c>
      <c r="F1262" s="17"/>
      <c r="G1262" s="17"/>
      <c r="H1262" s="17"/>
      <c r="I1262" s="18" t="s">
        <v>1825</v>
      </c>
    </row>
    <row r="1263" spans="2:9" hidden="1" x14ac:dyDescent="0.25">
      <c r="B1263" s="17">
        <v>2</v>
      </c>
      <c r="C1263" s="17" t="s">
        <v>1826</v>
      </c>
      <c r="D1263" s="17" t="s">
        <v>44</v>
      </c>
      <c r="E1263" s="18" t="s">
        <v>3070</v>
      </c>
      <c r="F1263" s="17"/>
      <c r="G1263" s="17"/>
      <c r="H1263" s="17"/>
      <c r="I1263" s="18" t="s">
        <v>1827</v>
      </c>
    </row>
    <row r="1264" spans="2:9" hidden="1" x14ac:dyDescent="0.25">
      <c r="B1264" s="17">
        <v>3</v>
      </c>
      <c r="C1264" s="17" t="s">
        <v>1828</v>
      </c>
      <c r="D1264" s="17" t="s">
        <v>30</v>
      </c>
      <c r="E1264" s="18" t="s">
        <v>3071</v>
      </c>
      <c r="F1264" s="17"/>
      <c r="G1264" s="17"/>
      <c r="H1264" s="17"/>
      <c r="I1264" s="18" t="s">
        <v>1829</v>
      </c>
    </row>
    <row r="1265" spans="2:9" hidden="1" x14ac:dyDescent="0.25">
      <c r="B1265" s="17">
        <v>3</v>
      </c>
      <c r="C1265" s="17" t="s">
        <v>651</v>
      </c>
      <c r="D1265" s="17" t="s">
        <v>30</v>
      </c>
      <c r="E1265" s="18" t="s">
        <v>3068</v>
      </c>
      <c r="F1265" s="17"/>
      <c r="G1265" s="17"/>
      <c r="H1265" s="17"/>
      <c r="I1265" s="18" t="s">
        <v>54</v>
      </c>
    </row>
    <row r="1266" spans="2:9" hidden="1" x14ac:dyDescent="0.25">
      <c r="B1266" s="17">
        <v>1</v>
      </c>
      <c r="C1266" s="17" t="s">
        <v>1830</v>
      </c>
      <c r="D1266" s="17" t="s">
        <v>30</v>
      </c>
      <c r="E1266" s="18" t="s">
        <v>3072</v>
      </c>
      <c r="F1266" s="17"/>
      <c r="G1266" s="17"/>
      <c r="H1266" s="17"/>
      <c r="I1266" s="18" t="s">
        <v>1831</v>
      </c>
    </row>
    <row r="1267" spans="2:9" hidden="1" x14ac:dyDescent="0.25">
      <c r="B1267" s="17">
        <v>2</v>
      </c>
      <c r="C1267" s="17" t="s">
        <v>1832</v>
      </c>
      <c r="D1267" s="17" t="s">
        <v>42</v>
      </c>
      <c r="E1267" s="18" t="s">
        <v>3073</v>
      </c>
      <c r="F1267" s="17"/>
      <c r="G1267" s="17"/>
      <c r="H1267" s="17"/>
      <c r="I1267" s="18" t="s">
        <v>52</v>
      </c>
    </row>
    <row r="1268" spans="2:9" hidden="1" x14ac:dyDescent="0.25">
      <c r="B1268" s="17">
        <v>2</v>
      </c>
      <c r="C1268" s="17" t="s">
        <v>1833</v>
      </c>
      <c r="D1268" s="17" t="s">
        <v>30</v>
      </c>
      <c r="E1268" s="18" t="s">
        <v>3074</v>
      </c>
      <c r="F1268" s="17"/>
      <c r="G1268" s="17"/>
      <c r="H1268" s="17"/>
      <c r="I1268" s="18" t="s">
        <v>1834</v>
      </c>
    </row>
    <row r="1269" spans="2:9" hidden="1" x14ac:dyDescent="0.25">
      <c r="B1269" s="17">
        <v>2</v>
      </c>
      <c r="C1269" s="17" t="s">
        <v>929</v>
      </c>
      <c r="D1269" s="17" t="s">
        <v>30</v>
      </c>
      <c r="E1269" s="18" t="s">
        <v>3075</v>
      </c>
      <c r="F1269" s="17"/>
      <c r="G1269" s="17"/>
      <c r="H1269" s="17"/>
      <c r="I1269" s="18" t="s">
        <v>930</v>
      </c>
    </row>
    <row r="1270" spans="2:9" hidden="1" x14ac:dyDescent="0.25">
      <c r="B1270" s="17">
        <v>1</v>
      </c>
      <c r="C1270" s="17" t="s">
        <v>1835</v>
      </c>
      <c r="D1270" s="17" t="s">
        <v>30</v>
      </c>
      <c r="E1270" s="18" t="s">
        <v>3076</v>
      </c>
      <c r="F1270" s="17"/>
      <c r="G1270" s="17"/>
      <c r="H1270" s="17"/>
      <c r="I1270" s="18" t="s">
        <v>1836</v>
      </c>
    </row>
    <row r="1271" spans="2:9" hidden="1" x14ac:dyDescent="0.25">
      <c r="B1271" s="17">
        <v>2</v>
      </c>
      <c r="C1271" s="17" t="s">
        <v>1837</v>
      </c>
      <c r="D1271" s="17" t="s">
        <v>30</v>
      </c>
      <c r="E1271" s="18" t="s">
        <v>3077</v>
      </c>
      <c r="F1271" s="17"/>
      <c r="G1271" s="17"/>
      <c r="H1271" s="17"/>
      <c r="I1271" s="18" t="s">
        <v>1838</v>
      </c>
    </row>
    <row r="1272" spans="2:9" hidden="1" x14ac:dyDescent="0.25">
      <c r="B1272" s="17">
        <v>2</v>
      </c>
      <c r="C1272" s="17" t="s">
        <v>1839</v>
      </c>
      <c r="D1272" s="17" t="s">
        <v>30</v>
      </c>
      <c r="E1272" s="18" t="s">
        <v>3078</v>
      </c>
      <c r="F1272" s="17"/>
      <c r="G1272" s="17"/>
      <c r="H1272" s="17"/>
      <c r="I1272" s="18" t="s">
        <v>1840</v>
      </c>
    </row>
    <row r="1273" spans="2:9" hidden="1" x14ac:dyDescent="0.25">
      <c r="B1273" s="17">
        <v>2</v>
      </c>
      <c r="C1273" s="17" t="s">
        <v>1841</v>
      </c>
      <c r="D1273" s="17" t="s">
        <v>30</v>
      </c>
      <c r="E1273" s="18" t="s">
        <v>3079</v>
      </c>
      <c r="F1273" s="17"/>
      <c r="G1273" s="17"/>
      <c r="H1273" s="17"/>
      <c r="I1273" s="18" t="s">
        <v>1842</v>
      </c>
    </row>
    <row r="1274" spans="2:9" hidden="1" x14ac:dyDescent="0.25">
      <c r="B1274" s="17">
        <v>2</v>
      </c>
      <c r="C1274" s="17" t="s">
        <v>1843</v>
      </c>
      <c r="D1274" s="17" t="s">
        <v>30</v>
      </c>
      <c r="E1274" s="18" t="s">
        <v>3080</v>
      </c>
      <c r="F1274" s="17"/>
      <c r="G1274" s="17"/>
      <c r="H1274" s="17"/>
      <c r="I1274" s="18" t="s">
        <v>1844</v>
      </c>
    </row>
    <row r="1275" spans="2:9" hidden="1" x14ac:dyDescent="0.25">
      <c r="B1275" s="17">
        <v>2</v>
      </c>
      <c r="C1275" s="17" t="s">
        <v>1845</v>
      </c>
      <c r="D1275" s="17" t="s">
        <v>30</v>
      </c>
      <c r="E1275" s="18" t="s">
        <v>3081</v>
      </c>
      <c r="F1275" s="17"/>
      <c r="G1275" s="17"/>
      <c r="H1275" s="17"/>
      <c r="I1275" s="18" t="s">
        <v>1846</v>
      </c>
    </row>
    <row r="1276" spans="2:9" hidden="1" x14ac:dyDescent="0.25">
      <c r="B1276" s="17">
        <v>2</v>
      </c>
      <c r="C1276" s="17" t="s">
        <v>1847</v>
      </c>
      <c r="D1276" s="17" t="s">
        <v>30</v>
      </c>
      <c r="E1276" s="18" t="s">
        <v>3082</v>
      </c>
      <c r="F1276" s="17"/>
      <c r="G1276" s="17"/>
      <c r="H1276" s="17"/>
      <c r="I1276" s="18" t="s">
        <v>1848</v>
      </c>
    </row>
    <row r="1277" spans="2:9" hidden="1" x14ac:dyDescent="0.25">
      <c r="B1277" s="17">
        <v>3</v>
      </c>
      <c r="C1277" s="17" t="s">
        <v>1849</v>
      </c>
      <c r="D1277" s="17" t="s">
        <v>30</v>
      </c>
      <c r="E1277" s="18" t="s">
        <v>3083</v>
      </c>
      <c r="F1277" s="17"/>
      <c r="G1277" s="17"/>
      <c r="H1277" s="17"/>
      <c r="I1277" s="18" t="s">
        <v>1850</v>
      </c>
    </row>
    <row r="1278" spans="2:9" hidden="1" x14ac:dyDescent="0.25">
      <c r="B1278" s="17">
        <v>4</v>
      </c>
      <c r="C1278" s="17" t="s">
        <v>1851</v>
      </c>
      <c r="D1278" s="17" t="s">
        <v>42</v>
      </c>
      <c r="E1278" s="18" t="s">
        <v>3084</v>
      </c>
      <c r="F1278" s="17"/>
      <c r="G1278" s="17"/>
      <c r="H1278" s="17"/>
      <c r="I1278" s="18" t="s">
        <v>1852</v>
      </c>
    </row>
    <row r="1279" spans="2:9" hidden="1" x14ac:dyDescent="0.25">
      <c r="B1279" s="17">
        <v>4</v>
      </c>
      <c r="C1279" s="17" t="s">
        <v>1853</v>
      </c>
      <c r="D1279" s="17" t="s">
        <v>43</v>
      </c>
      <c r="E1279" s="18" t="s">
        <v>3085</v>
      </c>
      <c r="F1279" s="17"/>
      <c r="G1279" s="17"/>
      <c r="H1279" s="17"/>
      <c r="I1279" s="18" t="s">
        <v>1854</v>
      </c>
    </row>
    <row r="1280" spans="2:9" hidden="1" x14ac:dyDescent="0.25">
      <c r="B1280" s="17">
        <v>4</v>
      </c>
      <c r="C1280" s="17" t="s">
        <v>1855</v>
      </c>
      <c r="D1280" s="17" t="s">
        <v>30</v>
      </c>
      <c r="E1280" s="18" t="s">
        <v>3086</v>
      </c>
      <c r="F1280" s="17"/>
      <c r="G1280" s="17"/>
      <c r="H1280" s="17"/>
      <c r="I1280" s="18" t="s">
        <v>1856</v>
      </c>
    </row>
    <row r="1281" spans="2:9" hidden="1" x14ac:dyDescent="0.25">
      <c r="B1281" s="17">
        <v>4</v>
      </c>
      <c r="C1281" s="17" t="s">
        <v>1857</v>
      </c>
      <c r="D1281" s="17" t="s">
        <v>40</v>
      </c>
      <c r="E1281" s="18" t="s">
        <v>3087</v>
      </c>
      <c r="F1281" s="17"/>
      <c r="G1281" s="17"/>
      <c r="H1281" s="17"/>
      <c r="I1281" s="18" t="s">
        <v>1858</v>
      </c>
    </row>
    <row r="1282" spans="2:9" hidden="1" x14ac:dyDescent="0.25">
      <c r="B1282" s="17">
        <v>3</v>
      </c>
      <c r="C1282" s="17" t="s">
        <v>1859</v>
      </c>
      <c r="D1282" s="17" t="s">
        <v>30</v>
      </c>
      <c r="E1282" s="18" t="s">
        <v>3088</v>
      </c>
      <c r="F1282" s="17"/>
      <c r="G1282" s="17"/>
      <c r="H1282" s="17"/>
      <c r="I1282" s="18" t="s">
        <v>1860</v>
      </c>
    </row>
    <row r="1283" spans="2:9" hidden="1" x14ac:dyDescent="0.25">
      <c r="B1283" s="17">
        <v>4</v>
      </c>
      <c r="C1283" s="17" t="s">
        <v>1851</v>
      </c>
      <c r="D1283" s="17" t="s">
        <v>42</v>
      </c>
      <c r="E1283" s="18" t="s">
        <v>3084</v>
      </c>
      <c r="F1283" s="17"/>
      <c r="G1283" s="17"/>
      <c r="H1283" s="17"/>
      <c r="I1283" s="18" t="s">
        <v>1852</v>
      </c>
    </row>
    <row r="1284" spans="2:9" hidden="1" x14ac:dyDescent="0.25">
      <c r="B1284" s="17">
        <v>4</v>
      </c>
      <c r="C1284" s="17" t="s">
        <v>1861</v>
      </c>
      <c r="D1284" s="17" t="s">
        <v>30</v>
      </c>
      <c r="E1284" s="18" t="s">
        <v>3089</v>
      </c>
      <c r="F1284" s="17"/>
      <c r="G1284" s="17"/>
      <c r="H1284" s="17"/>
      <c r="I1284" s="18" t="s">
        <v>1862</v>
      </c>
    </row>
    <row r="1285" spans="2:9" hidden="1" x14ac:dyDescent="0.25">
      <c r="B1285" s="17">
        <v>4</v>
      </c>
      <c r="C1285" s="17" t="s">
        <v>1863</v>
      </c>
      <c r="D1285" s="17" t="s">
        <v>40</v>
      </c>
      <c r="E1285" s="18" t="s">
        <v>3090</v>
      </c>
      <c r="F1285" s="17"/>
      <c r="G1285" s="17"/>
      <c r="H1285" s="17"/>
      <c r="I1285" s="18" t="s">
        <v>1862</v>
      </c>
    </row>
    <row r="1286" spans="2:9" hidden="1" x14ac:dyDescent="0.25">
      <c r="B1286" s="17">
        <v>4</v>
      </c>
      <c r="C1286" s="17" t="s">
        <v>1864</v>
      </c>
      <c r="D1286" s="17" t="s">
        <v>174</v>
      </c>
      <c r="E1286" s="18" t="s">
        <v>3091</v>
      </c>
      <c r="F1286" s="17"/>
      <c r="G1286" s="17"/>
      <c r="H1286" s="17"/>
      <c r="I1286" s="18" t="s">
        <v>1865</v>
      </c>
    </row>
    <row r="1287" spans="2:9" hidden="1" x14ac:dyDescent="0.25">
      <c r="B1287" s="17">
        <v>2</v>
      </c>
      <c r="C1287" s="17" t="s">
        <v>1866</v>
      </c>
      <c r="D1287" s="17" t="s">
        <v>30</v>
      </c>
      <c r="E1287" s="18" t="s">
        <v>3092</v>
      </c>
      <c r="F1287" s="17"/>
      <c r="G1287" s="17"/>
      <c r="H1287" s="17"/>
      <c r="I1287" s="18" t="s">
        <v>858</v>
      </c>
    </row>
    <row r="1288" spans="2:9" hidden="1" x14ac:dyDescent="0.25">
      <c r="B1288" s="17">
        <v>2</v>
      </c>
      <c r="C1288" s="17" t="s">
        <v>1867</v>
      </c>
      <c r="D1288" s="17" t="s">
        <v>30</v>
      </c>
      <c r="E1288" s="18" t="s">
        <v>3093</v>
      </c>
      <c r="F1288" s="17"/>
      <c r="G1288" s="17"/>
      <c r="H1288" s="17"/>
      <c r="I1288" s="18" t="s">
        <v>858</v>
      </c>
    </row>
    <row r="1289" spans="2:9" hidden="1" x14ac:dyDescent="0.25">
      <c r="B1289" s="17">
        <v>2</v>
      </c>
      <c r="C1289" s="17" t="s">
        <v>1868</v>
      </c>
      <c r="D1289" s="17" t="s">
        <v>30</v>
      </c>
      <c r="E1289" s="18" t="s">
        <v>3094</v>
      </c>
      <c r="F1289" s="17"/>
      <c r="G1289" s="17"/>
      <c r="H1289" s="17"/>
      <c r="I1289" s="18" t="s">
        <v>858</v>
      </c>
    </row>
    <row r="1290" spans="2:9" hidden="1" x14ac:dyDescent="0.25">
      <c r="B1290" s="17">
        <v>2</v>
      </c>
      <c r="C1290" s="17" t="s">
        <v>1869</v>
      </c>
      <c r="D1290" s="17" t="s">
        <v>30</v>
      </c>
      <c r="E1290" s="18" t="s">
        <v>3095</v>
      </c>
      <c r="F1290" s="17"/>
      <c r="G1290" s="17"/>
      <c r="H1290" s="17"/>
      <c r="I1290" s="18" t="s">
        <v>1870</v>
      </c>
    </row>
    <row r="1291" spans="2:9" hidden="1" x14ac:dyDescent="0.25">
      <c r="B1291" s="17">
        <v>2</v>
      </c>
      <c r="C1291" s="17" t="s">
        <v>1871</v>
      </c>
      <c r="D1291" s="17" t="s">
        <v>30</v>
      </c>
      <c r="E1291" s="18" t="s">
        <v>3096</v>
      </c>
      <c r="F1291" s="17"/>
      <c r="G1291" s="17"/>
      <c r="H1291" s="17"/>
      <c r="I1291" s="18" t="s">
        <v>1872</v>
      </c>
    </row>
    <row r="1292" spans="2:9" hidden="1" x14ac:dyDescent="0.25">
      <c r="B1292" s="17">
        <v>3</v>
      </c>
      <c r="C1292" s="17" t="s">
        <v>1873</v>
      </c>
      <c r="D1292" s="17" t="s">
        <v>30</v>
      </c>
      <c r="E1292" s="18" t="s">
        <v>3097</v>
      </c>
      <c r="F1292" s="17"/>
      <c r="G1292" s="17"/>
      <c r="H1292" s="17"/>
      <c r="I1292" s="18" t="s">
        <v>1874</v>
      </c>
    </row>
    <row r="1293" spans="2:9" hidden="1" x14ac:dyDescent="0.25">
      <c r="B1293" s="17">
        <v>3</v>
      </c>
      <c r="C1293" s="17" t="s">
        <v>1875</v>
      </c>
      <c r="D1293" s="17" t="s">
        <v>30</v>
      </c>
      <c r="E1293" s="18" t="s">
        <v>3098</v>
      </c>
      <c r="F1293" s="17"/>
      <c r="G1293" s="17"/>
      <c r="H1293" s="17"/>
      <c r="I1293" s="18" t="s">
        <v>1876</v>
      </c>
    </row>
    <row r="1294" spans="2:9" hidden="1" x14ac:dyDescent="0.25">
      <c r="B1294" s="17">
        <v>3</v>
      </c>
      <c r="C1294" s="17" t="s">
        <v>1877</v>
      </c>
      <c r="D1294" s="17" t="s">
        <v>30</v>
      </c>
      <c r="E1294" s="18" t="s">
        <v>3099</v>
      </c>
      <c r="F1294" s="17"/>
      <c r="G1294" s="17"/>
      <c r="H1294" s="17"/>
      <c r="I1294" s="18" t="s">
        <v>1878</v>
      </c>
    </row>
    <row r="1295" spans="2:9" hidden="1" x14ac:dyDescent="0.25">
      <c r="B1295" s="17">
        <v>3</v>
      </c>
      <c r="C1295" s="17" t="s">
        <v>1879</v>
      </c>
      <c r="D1295" s="17" t="s">
        <v>30</v>
      </c>
      <c r="E1295" s="18" t="s">
        <v>3100</v>
      </c>
      <c r="F1295" s="17"/>
      <c r="G1295" s="17"/>
      <c r="H1295" s="17"/>
      <c r="I1295" s="18" t="s">
        <v>1878</v>
      </c>
    </row>
    <row r="1296" spans="2:9" hidden="1" x14ac:dyDescent="0.25">
      <c r="B1296" s="17">
        <v>3</v>
      </c>
      <c r="C1296" s="17" t="s">
        <v>1880</v>
      </c>
      <c r="D1296" s="17" t="s">
        <v>30</v>
      </c>
      <c r="E1296" s="18" t="s">
        <v>3101</v>
      </c>
      <c r="F1296" s="17"/>
      <c r="G1296" s="17"/>
      <c r="H1296" s="17"/>
      <c r="I1296" s="18" t="s">
        <v>1881</v>
      </c>
    </row>
    <row r="1297" spans="2:9" hidden="1" x14ac:dyDescent="0.25">
      <c r="B1297" s="17">
        <v>3</v>
      </c>
      <c r="C1297" s="17" t="s">
        <v>1882</v>
      </c>
      <c r="D1297" s="17" t="s">
        <v>30</v>
      </c>
      <c r="E1297" s="18" t="s">
        <v>3102</v>
      </c>
      <c r="F1297" s="17"/>
      <c r="G1297" s="17"/>
      <c r="H1297" s="17"/>
      <c r="I1297" s="18" t="s">
        <v>1883</v>
      </c>
    </row>
    <row r="1298" spans="2:9" hidden="1" x14ac:dyDescent="0.25">
      <c r="B1298" s="17">
        <v>3</v>
      </c>
      <c r="C1298" s="17" t="s">
        <v>1884</v>
      </c>
      <c r="D1298" s="17" t="s">
        <v>30</v>
      </c>
      <c r="E1298" s="18" t="s">
        <v>3103</v>
      </c>
      <c r="F1298" s="17"/>
      <c r="G1298" s="17"/>
      <c r="H1298" s="17"/>
      <c r="I1298" s="18" t="s">
        <v>1881</v>
      </c>
    </row>
    <row r="1299" spans="2:9" hidden="1" x14ac:dyDescent="0.25">
      <c r="B1299" s="17">
        <v>3</v>
      </c>
      <c r="C1299" s="17" t="s">
        <v>1885</v>
      </c>
      <c r="D1299" s="17" t="s">
        <v>30</v>
      </c>
      <c r="E1299" s="18" t="s">
        <v>3104</v>
      </c>
      <c r="F1299" s="17"/>
      <c r="G1299" s="17"/>
      <c r="H1299" s="17"/>
      <c r="I1299" s="18" t="s">
        <v>1886</v>
      </c>
    </row>
    <row r="1300" spans="2:9" hidden="1" x14ac:dyDescent="0.25">
      <c r="B1300" s="17">
        <v>3</v>
      </c>
      <c r="C1300" s="17" t="s">
        <v>1887</v>
      </c>
      <c r="D1300" s="17" t="s">
        <v>30</v>
      </c>
      <c r="E1300" s="18" t="s">
        <v>3105</v>
      </c>
      <c r="F1300" s="17"/>
      <c r="G1300" s="17"/>
      <c r="H1300" s="17"/>
      <c r="I1300" s="18" t="s">
        <v>1888</v>
      </c>
    </row>
    <row r="1301" spans="2:9" hidden="1" x14ac:dyDescent="0.25">
      <c r="B1301" s="17">
        <v>3</v>
      </c>
      <c r="C1301" s="17" t="s">
        <v>1889</v>
      </c>
      <c r="D1301" s="17" t="s">
        <v>30</v>
      </c>
      <c r="E1301" s="18" t="s">
        <v>3106</v>
      </c>
      <c r="F1301" s="17"/>
      <c r="G1301" s="17"/>
      <c r="H1301" s="17"/>
      <c r="I1301" s="18" t="s">
        <v>1890</v>
      </c>
    </row>
    <row r="1302" spans="2:9" hidden="1" x14ac:dyDescent="0.25">
      <c r="B1302" s="17">
        <v>4</v>
      </c>
      <c r="C1302" s="17" t="s">
        <v>1069</v>
      </c>
      <c r="D1302" s="17" t="s">
        <v>49</v>
      </c>
      <c r="E1302" s="18" t="s">
        <v>3107</v>
      </c>
      <c r="F1302" s="17"/>
      <c r="G1302" s="17"/>
      <c r="H1302" s="17"/>
      <c r="I1302" s="18" t="s">
        <v>123</v>
      </c>
    </row>
    <row r="1303" spans="2:9" hidden="1" x14ac:dyDescent="0.25">
      <c r="B1303" s="17">
        <v>4</v>
      </c>
      <c r="C1303" s="17" t="s">
        <v>1891</v>
      </c>
      <c r="D1303" s="17" t="s">
        <v>40</v>
      </c>
      <c r="E1303" s="18" t="s">
        <v>3108</v>
      </c>
      <c r="F1303" s="17"/>
      <c r="G1303" s="17"/>
      <c r="H1303" s="17"/>
      <c r="I1303" s="18" t="s">
        <v>1892</v>
      </c>
    </row>
    <row r="1304" spans="2:9" hidden="1" x14ac:dyDescent="0.25">
      <c r="B1304" s="17">
        <v>3</v>
      </c>
      <c r="C1304" s="17" t="s">
        <v>1893</v>
      </c>
      <c r="D1304" s="17" t="s">
        <v>30</v>
      </c>
      <c r="E1304" s="18" t="s">
        <v>3109</v>
      </c>
      <c r="F1304" s="17"/>
      <c r="G1304" s="17"/>
      <c r="H1304" s="17"/>
      <c r="I1304" s="18" t="s">
        <v>1874</v>
      </c>
    </row>
    <row r="1305" spans="2:9" hidden="1" x14ac:dyDescent="0.25">
      <c r="B1305" s="17">
        <v>2</v>
      </c>
      <c r="C1305" s="17" t="s">
        <v>1082</v>
      </c>
      <c r="D1305" s="17" t="s">
        <v>30</v>
      </c>
      <c r="E1305" s="18" t="s">
        <v>3110</v>
      </c>
      <c r="F1305" s="17"/>
      <c r="G1305" s="17"/>
      <c r="H1305" s="17"/>
      <c r="I1305" s="18" t="s">
        <v>816</v>
      </c>
    </row>
    <row r="1306" spans="2:9" hidden="1" x14ac:dyDescent="0.25">
      <c r="B1306" s="17">
        <v>2</v>
      </c>
      <c r="C1306" s="17" t="s">
        <v>823</v>
      </c>
      <c r="D1306" s="17" t="s">
        <v>40</v>
      </c>
      <c r="E1306" s="18" t="s">
        <v>3111</v>
      </c>
      <c r="F1306" s="17"/>
      <c r="G1306" s="17"/>
      <c r="H1306" s="17"/>
      <c r="I1306" s="18" t="s">
        <v>824</v>
      </c>
    </row>
    <row r="1307" spans="2:9" x14ac:dyDescent="0.25">
      <c r="B1307" s="17">
        <v>1</v>
      </c>
      <c r="C1307" s="17" t="s">
        <v>1894</v>
      </c>
      <c r="D1307" s="17" t="s">
        <v>30</v>
      </c>
      <c r="E1307" s="18" t="s">
        <v>3112</v>
      </c>
      <c r="F1307" s="17" t="s">
        <v>1895</v>
      </c>
      <c r="G1307" s="17" t="s">
        <v>1895</v>
      </c>
      <c r="H1307" s="17" t="s">
        <v>46</v>
      </c>
      <c r="I1307" s="18" t="s">
        <v>1896</v>
      </c>
    </row>
    <row r="1308" spans="2:9" hidden="1" x14ac:dyDescent="0.25">
      <c r="B1308" s="17">
        <v>2</v>
      </c>
      <c r="C1308" s="17" t="s">
        <v>398</v>
      </c>
      <c r="D1308" s="17" t="s">
        <v>42</v>
      </c>
      <c r="E1308" s="18" t="s">
        <v>3017</v>
      </c>
      <c r="F1308" s="17"/>
      <c r="G1308" s="17"/>
      <c r="H1308" s="17"/>
      <c r="I1308" s="18" t="s">
        <v>399</v>
      </c>
    </row>
    <row r="1309" spans="2:9" hidden="1" x14ac:dyDescent="0.25">
      <c r="B1309" s="17">
        <v>3</v>
      </c>
      <c r="C1309" s="17" t="s">
        <v>400</v>
      </c>
      <c r="D1309" s="17" t="s">
        <v>42</v>
      </c>
      <c r="E1309" s="18" t="s">
        <v>3018</v>
      </c>
      <c r="F1309" s="17"/>
      <c r="G1309" s="17"/>
      <c r="H1309" s="17"/>
      <c r="I1309" s="18" t="s">
        <v>401</v>
      </c>
    </row>
    <row r="1310" spans="2:9" hidden="1" x14ac:dyDescent="0.25">
      <c r="B1310" s="17">
        <v>3</v>
      </c>
      <c r="C1310" s="17" t="s">
        <v>402</v>
      </c>
      <c r="D1310" s="17" t="s">
        <v>42</v>
      </c>
      <c r="E1310" s="18" t="s">
        <v>3019</v>
      </c>
      <c r="F1310" s="17"/>
      <c r="G1310" s="17"/>
      <c r="H1310" s="17"/>
      <c r="I1310" s="18" t="s">
        <v>403</v>
      </c>
    </row>
    <row r="1311" spans="2:9" hidden="1" x14ac:dyDescent="0.25">
      <c r="B1311" s="17">
        <v>4</v>
      </c>
      <c r="C1311" s="17" t="s">
        <v>404</v>
      </c>
      <c r="D1311" s="17" t="s">
        <v>30</v>
      </c>
      <c r="E1311" s="18" t="s">
        <v>3020</v>
      </c>
      <c r="F1311" s="17"/>
      <c r="G1311" s="17"/>
      <c r="H1311" s="17"/>
      <c r="I1311" s="18" t="s">
        <v>405</v>
      </c>
    </row>
    <row r="1312" spans="2:9" hidden="1" x14ac:dyDescent="0.25">
      <c r="B1312" s="17">
        <v>4</v>
      </c>
      <c r="C1312" s="17" t="s">
        <v>406</v>
      </c>
      <c r="D1312" s="17" t="s">
        <v>42</v>
      </c>
      <c r="E1312" s="18" t="s">
        <v>3021</v>
      </c>
      <c r="F1312" s="17"/>
      <c r="G1312" s="17"/>
      <c r="H1312" s="17"/>
      <c r="I1312" s="18" t="s">
        <v>407</v>
      </c>
    </row>
    <row r="1313" spans="2:9" hidden="1" x14ac:dyDescent="0.25">
      <c r="B1313" s="17">
        <v>3</v>
      </c>
      <c r="C1313" s="17" t="s">
        <v>408</v>
      </c>
      <c r="D1313" s="17" t="s">
        <v>30</v>
      </c>
      <c r="E1313" s="18" t="s">
        <v>3022</v>
      </c>
      <c r="F1313" s="17"/>
      <c r="G1313" s="17"/>
      <c r="H1313" s="17"/>
      <c r="I1313" s="18" t="s">
        <v>142</v>
      </c>
    </row>
    <row r="1314" spans="2:9" hidden="1" x14ac:dyDescent="0.25">
      <c r="B1314" s="17">
        <v>3</v>
      </c>
      <c r="C1314" s="17" t="s">
        <v>409</v>
      </c>
      <c r="D1314" s="17" t="s">
        <v>30</v>
      </c>
      <c r="E1314" s="18" t="s">
        <v>3023</v>
      </c>
      <c r="F1314" s="17"/>
      <c r="G1314" s="17"/>
      <c r="H1314" s="17"/>
      <c r="I1314" s="18" t="s">
        <v>410</v>
      </c>
    </row>
    <row r="1315" spans="2:9" hidden="1" x14ac:dyDescent="0.25">
      <c r="B1315" s="17">
        <v>2</v>
      </c>
      <c r="C1315" s="17" t="s">
        <v>411</v>
      </c>
      <c r="D1315" s="17" t="s">
        <v>40</v>
      </c>
      <c r="E1315" s="18" t="s">
        <v>3024</v>
      </c>
      <c r="F1315" s="17"/>
      <c r="G1315" s="17"/>
      <c r="H1315" s="17"/>
      <c r="I1315" s="18" t="s">
        <v>412</v>
      </c>
    </row>
    <row r="1316" spans="2:9" hidden="1" x14ac:dyDescent="0.25">
      <c r="B1316" s="17">
        <v>2</v>
      </c>
      <c r="C1316" s="17" t="s">
        <v>1897</v>
      </c>
      <c r="D1316" s="17" t="s">
        <v>30</v>
      </c>
      <c r="E1316" s="18" t="s">
        <v>3113</v>
      </c>
      <c r="F1316" s="17"/>
      <c r="G1316" s="17"/>
      <c r="H1316" s="17"/>
      <c r="I1316" s="18" t="s">
        <v>1898</v>
      </c>
    </row>
    <row r="1317" spans="2:9" hidden="1" x14ac:dyDescent="0.25">
      <c r="B1317" s="17">
        <v>3</v>
      </c>
      <c r="C1317" s="17" t="s">
        <v>1899</v>
      </c>
      <c r="D1317" s="17" t="s">
        <v>30</v>
      </c>
      <c r="E1317" s="18" t="s">
        <v>3114</v>
      </c>
      <c r="F1317" s="17"/>
      <c r="G1317" s="17"/>
      <c r="H1317" s="17"/>
      <c r="I1317" s="18" t="s">
        <v>344</v>
      </c>
    </row>
    <row r="1318" spans="2:9" hidden="1" x14ac:dyDescent="0.25">
      <c r="B1318" s="17">
        <v>3</v>
      </c>
      <c r="C1318" s="17" t="s">
        <v>1900</v>
      </c>
      <c r="D1318" s="17" t="s">
        <v>30</v>
      </c>
      <c r="E1318" s="18" t="s">
        <v>3115</v>
      </c>
      <c r="F1318" s="17"/>
      <c r="G1318" s="17"/>
      <c r="H1318" s="17"/>
      <c r="I1318" s="18" t="s">
        <v>1901</v>
      </c>
    </row>
    <row r="1319" spans="2:9" hidden="1" x14ac:dyDescent="0.25">
      <c r="B1319" s="17">
        <v>4</v>
      </c>
      <c r="C1319" s="17" t="s">
        <v>1116</v>
      </c>
      <c r="D1319" s="17" t="s">
        <v>49</v>
      </c>
      <c r="E1319" s="18" t="s">
        <v>3116</v>
      </c>
      <c r="F1319" s="17"/>
      <c r="G1319" s="17"/>
      <c r="H1319" s="17"/>
      <c r="I1319" s="18" t="s">
        <v>127</v>
      </c>
    </row>
    <row r="1320" spans="2:9" hidden="1" x14ac:dyDescent="0.25">
      <c r="B1320" s="17">
        <v>4</v>
      </c>
      <c r="C1320" s="17" t="s">
        <v>1902</v>
      </c>
      <c r="D1320" s="17" t="s">
        <v>30</v>
      </c>
      <c r="E1320" s="18" t="s">
        <v>3117</v>
      </c>
      <c r="F1320" s="17"/>
      <c r="G1320" s="17"/>
      <c r="H1320" s="17"/>
      <c r="I1320" s="18" t="s">
        <v>1903</v>
      </c>
    </row>
    <row r="1321" spans="2:9" hidden="1" x14ac:dyDescent="0.25">
      <c r="B1321" s="17">
        <v>3</v>
      </c>
      <c r="C1321" s="17" t="s">
        <v>1904</v>
      </c>
      <c r="D1321" s="17" t="s">
        <v>30</v>
      </c>
      <c r="E1321" s="18" t="s">
        <v>3118</v>
      </c>
      <c r="F1321" s="17"/>
      <c r="G1321" s="17"/>
      <c r="H1321" s="17"/>
      <c r="I1321" s="18" t="s">
        <v>344</v>
      </c>
    </row>
    <row r="1322" spans="2:9" hidden="1" x14ac:dyDescent="0.25">
      <c r="B1322" s="17">
        <v>3</v>
      </c>
      <c r="C1322" s="17" t="s">
        <v>1905</v>
      </c>
      <c r="D1322" s="17" t="s">
        <v>30</v>
      </c>
      <c r="E1322" s="18" t="s">
        <v>3119</v>
      </c>
      <c r="F1322" s="17"/>
      <c r="G1322" s="17"/>
      <c r="H1322" s="17"/>
      <c r="I1322" s="18" t="s">
        <v>433</v>
      </c>
    </row>
    <row r="1323" spans="2:9" hidden="1" x14ac:dyDescent="0.25">
      <c r="B1323" s="17">
        <v>3</v>
      </c>
      <c r="C1323" s="17" t="s">
        <v>55</v>
      </c>
      <c r="D1323" s="17" t="s">
        <v>40</v>
      </c>
      <c r="E1323" s="18" t="s">
        <v>60</v>
      </c>
      <c r="F1323" s="17"/>
      <c r="G1323" s="17"/>
      <c r="H1323" s="17"/>
      <c r="I1323" s="18" t="s">
        <v>56</v>
      </c>
    </row>
    <row r="1324" spans="2:9" hidden="1" x14ac:dyDescent="0.25">
      <c r="B1324" s="17">
        <v>2</v>
      </c>
      <c r="C1324" s="17" t="s">
        <v>1906</v>
      </c>
      <c r="D1324" s="17" t="s">
        <v>30</v>
      </c>
      <c r="E1324" s="18" t="s">
        <v>3120</v>
      </c>
      <c r="F1324" s="17"/>
      <c r="G1324" s="17"/>
      <c r="H1324" s="17"/>
      <c r="I1324" s="18" t="s">
        <v>1073</v>
      </c>
    </row>
    <row r="1325" spans="2:9" hidden="1" x14ac:dyDescent="0.25">
      <c r="B1325" s="17">
        <v>2</v>
      </c>
      <c r="C1325" s="17" t="s">
        <v>1907</v>
      </c>
      <c r="D1325" s="17" t="s">
        <v>40</v>
      </c>
      <c r="E1325" s="18" t="s">
        <v>3121</v>
      </c>
      <c r="F1325" s="17"/>
      <c r="G1325" s="17"/>
      <c r="H1325" s="17"/>
      <c r="I1325" s="18" t="s">
        <v>1908</v>
      </c>
    </row>
    <row r="1326" spans="2:9" hidden="1" x14ac:dyDescent="0.25">
      <c r="B1326" s="17">
        <v>3</v>
      </c>
      <c r="C1326" s="17" t="s">
        <v>1909</v>
      </c>
      <c r="D1326" s="17" t="s">
        <v>30</v>
      </c>
      <c r="E1326" s="18" t="s">
        <v>3122</v>
      </c>
      <c r="F1326" s="17"/>
      <c r="G1326" s="17"/>
      <c r="H1326" s="17"/>
      <c r="I1326" s="18" t="s">
        <v>1910</v>
      </c>
    </row>
    <row r="1327" spans="2:9" hidden="1" x14ac:dyDescent="0.25">
      <c r="B1327" s="17">
        <v>3</v>
      </c>
      <c r="C1327" s="17" t="s">
        <v>1911</v>
      </c>
      <c r="D1327" s="17" t="s">
        <v>40</v>
      </c>
      <c r="E1327" s="18" t="s">
        <v>3123</v>
      </c>
      <c r="F1327" s="17"/>
      <c r="G1327" s="17"/>
      <c r="H1327" s="17"/>
      <c r="I1327" s="18" t="s">
        <v>1910</v>
      </c>
    </row>
    <row r="1328" spans="2:9" hidden="1" x14ac:dyDescent="0.25">
      <c r="B1328" s="17">
        <v>3</v>
      </c>
      <c r="C1328" s="17" t="s">
        <v>1448</v>
      </c>
      <c r="D1328" s="17" t="s">
        <v>30</v>
      </c>
      <c r="E1328" s="18" t="s">
        <v>3124</v>
      </c>
      <c r="F1328" s="17"/>
      <c r="G1328" s="17"/>
      <c r="H1328" s="17"/>
      <c r="I1328" s="18" t="s">
        <v>1449</v>
      </c>
    </row>
    <row r="1329" spans="2:9" hidden="1" x14ac:dyDescent="0.25">
      <c r="B1329" s="17">
        <v>3</v>
      </c>
      <c r="C1329" s="17" t="s">
        <v>1912</v>
      </c>
      <c r="D1329" s="17" t="s">
        <v>30</v>
      </c>
      <c r="E1329" s="18" t="s">
        <v>3125</v>
      </c>
      <c r="F1329" s="17"/>
      <c r="G1329" s="17"/>
      <c r="H1329" s="17"/>
      <c r="I1329" s="18" t="s">
        <v>145</v>
      </c>
    </row>
    <row r="1330" spans="2:9" hidden="1" x14ac:dyDescent="0.25">
      <c r="B1330" s="17">
        <v>2</v>
      </c>
      <c r="C1330" s="17" t="s">
        <v>1913</v>
      </c>
      <c r="D1330" s="17" t="s">
        <v>30</v>
      </c>
      <c r="E1330" s="18" t="s">
        <v>3126</v>
      </c>
      <c r="F1330" s="17"/>
      <c r="G1330" s="17"/>
      <c r="H1330" s="17"/>
      <c r="I1330" s="18" t="s">
        <v>1914</v>
      </c>
    </row>
    <row r="1331" spans="2:9" hidden="1" x14ac:dyDescent="0.25">
      <c r="B1331" s="17">
        <v>3</v>
      </c>
      <c r="C1331" s="17" t="s">
        <v>1915</v>
      </c>
      <c r="D1331" s="17" t="s">
        <v>30</v>
      </c>
      <c r="E1331" s="18" t="s">
        <v>3127</v>
      </c>
      <c r="F1331" s="17"/>
      <c r="G1331" s="17"/>
      <c r="H1331" s="17"/>
      <c r="I1331" s="18" t="s">
        <v>1916</v>
      </c>
    </row>
    <row r="1332" spans="2:9" hidden="1" x14ac:dyDescent="0.25">
      <c r="B1332" s="17">
        <v>3</v>
      </c>
      <c r="C1332" s="17" t="s">
        <v>1917</v>
      </c>
      <c r="D1332" s="17" t="s">
        <v>40</v>
      </c>
      <c r="E1332" s="18" t="s">
        <v>3128</v>
      </c>
      <c r="F1332" s="17"/>
      <c r="G1332" s="17"/>
      <c r="H1332" s="17"/>
      <c r="I1332" s="18" t="s">
        <v>1918</v>
      </c>
    </row>
    <row r="1333" spans="2:9" hidden="1" x14ac:dyDescent="0.25">
      <c r="B1333" s="17">
        <v>3</v>
      </c>
      <c r="C1333" s="17" t="s">
        <v>1919</v>
      </c>
      <c r="D1333" s="17" t="s">
        <v>49</v>
      </c>
      <c r="E1333" s="18" t="s">
        <v>3129</v>
      </c>
      <c r="F1333" s="17"/>
      <c r="G1333" s="17"/>
      <c r="H1333" s="17"/>
      <c r="I1333" s="18" t="s">
        <v>1920</v>
      </c>
    </row>
    <row r="1334" spans="2:9" hidden="1" x14ac:dyDescent="0.25">
      <c r="B1334" s="17">
        <v>4</v>
      </c>
      <c r="C1334" s="17" t="s">
        <v>1174</v>
      </c>
      <c r="D1334" s="17" t="s">
        <v>42</v>
      </c>
      <c r="E1334" s="18" t="s">
        <v>3130</v>
      </c>
      <c r="F1334" s="17"/>
      <c r="G1334" s="17"/>
      <c r="H1334" s="17"/>
      <c r="I1334" s="18" t="s">
        <v>1175</v>
      </c>
    </row>
    <row r="1335" spans="2:9" hidden="1" x14ac:dyDescent="0.25">
      <c r="B1335" s="17">
        <v>4</v>
      </c>
      <c r="C1335" s="17" t="s">
        <v>1069</v>
      </c>
      <c r="D1335" s="17" t="s">
        <v>49</v>
      </c>
      <c r="E1335" s="18" t="s">
        <v>3107</v>
      </c>
      <c r="F1335" s="17"/>
      <c r="G1335" s="17"/>
      <c r="H1335" s="17"/>
      <c r="I1335" s="18" t="s">
        <v>123</v>
      </c>
    </row>
    <row r="1336" spans="2:9" hidden="1" x14ac:dyDescent="0.25">
      <c r="B1336" s="17">
        <v>4</v>
      </c>
      <c r="C1336" s="17" t="s">
        <v>1116</v>
      </c>
      <c r="D1336" s="17" t="s">
        <v>49</v>
      </c>
      <c r="E1336" s="18" t="s">
        <v>3116</v>
      </c>
      <c r="F1336" s="17"/>
      <c r="G1336" s="17"/>
      <c r="H1336" s="17"/>
      <c r="I1336" s="18" t="s">
        <v>127</v>
      </c>
    </row>
    <row r="1337" spans="2:9" hidden="1" x14ac:dyDescent="0.25">
      <c r="B1337" s="17">
        <v>4</v>
      </c>
      <c r="C1337" s="17" t="s">
        <v>1921</v>
      </c>
      <c r="D1337" s="17" t="s">
        <v>49</v>
      </c>
      <c r="E1337" s="18" t="s">
        <v>3131</v>
      </c>
      <c r="F1337" s="17"/>
      <c r="G1337" s="17"/>
      <c r="H1337" s="17"/>
      <c r="I1337" s="18" t="s">
        <v>1922</v>
      </c>
    </row>
    <row r="1338" spans="2:9" hidden="1" x14ac:dyDescent="0.25">
      <c r="B1338" s="17">
        <v>2</v>
      </c>
      <c r="C1338" s="17" t="s">
        <v>1923</v>
      </c>
      <c r="D1338" s="17" t="s">
        <v>30</v>
      </c>
      <c r="E1338" s="18" t="s">
        <v>3132</v>
      </c>
      <c r="F1338" s="17"/>
      <c r="G1338" s="17"/>
      <c r="H1338" s="17"/>
      <c r="I1338" s="18" t="s">
        <v>425</v>
      </c>
    </row>
    <row r="1339" spans="2:9" hidden="1" x14ac:dyDescent="0.25">
      <c r="B1339" s="17">
        <v>2</v>
      </c>
      <c r="C1339" s="17" t="s">
        <v>1082</v>
      </c>
      <c r="D1339" s="17" t="s">
        <v>30</v>
      </c>
      <c r="E1339" s="18" t="s">
        <v>3110</v>
      </c>
      <c r="F1339" s="17"/>
      <c r="G1339" s="17"/>
      <c r="H1339" s="17"/>
      <c r="I1339" s="18" t="s">
        <v>816</v>
      </c>
    </row>
    <row r="1340" spans="2:9" hidden="1" x14ac:dyDescent="0.25">
      <c r="B1340" s="17">
        <v>2</v>
      </c>
      <c r="C1340" s="17" t="s">
        <v>1905</v>
      </c>
      <c r="D1340" s="17" t="s">
        <v>30</v>
      </c>
      <c r="E1340" s="18" t="s">
        <v>3133</v>
      </c>
      <c r="F1340" s="17"/>
      <c r="G1340" s="17"/>
      <c r="H1340" s="17"/>
      <c r="I1340" s="18" t="s">
        <v>433</v>
      </c>
    </row>
    <row r="1341" spans="2:9" hidden="1" x14ac:dyDescent="0.25">
      <c r="B1341" s="17">
        <v>2</v>
      </c>
      <c r="C1341" s="17" t="s">
        <v>55</v>
      </c>
      <c r="D1341" s="17" t="s">
        <v>40</v>
      </c>
      <c r="E1341" s="18" t="s">
        <v>2996</v>
      </c>
      <c r="F1341" s="17"/>
      <c r="G1341" s="17"/>
      <c r="H1341" s="17"/>
      <c r="I1341" s="18" t="s">
        <v>56</v>
      </c>
    </row>
    <row r="1342" spans="2:9" hidden="1" x14ac:dyDescent="0.25">
      <c r="B1342" s="17">
        <v>2</v>
      </c>
      <c r="C1342" s="17" t="s">
        <v>429</v>
      </c>
      <c r="D1342" s="17" t="s">
        <v>30</v>
      </c>
      <c r="E1342" s="18" t="s">
        <v>3039</v>
      </c>
      <c r="F1342" s="17"/>
      <c r="G1342" s="17"/>
      <c r="H1342" s="17"/>
      <c r="I1342" s="18" t="s">
        <v>430</v>
      </c>
    </row>
    <row r="1343" spans="2:9" hidden="1" x14ac:dyDescent="0.25">
      <c r="B1343" s="17">
        <v>2</v>
      </c>
      <c r="C1343" s="17" t="s">
        <v>823</v>
      </c>
      <c r="D1343" s="17" t="s">
        <v>40</v>
      </c>
      <c r="E1343" s="18" t="s">
        <v>3111</v>
      </c>
      <c r="F1343" s="17"/>
      <c r="G1343" s="17"/>
      <c r="H1343" s="17"/>
      <c r="I1343" s="18" t="s">
        <v>824</v>
      </c>
    </row>
    <row r="1344" spans="2:9" x14ac:dyDescent="0.25">
      <c r="B1344" s="17">
        <v>1</v>
      </c>
      <c r="C1344" s="17" t="s">
        <v>1924</v>
      </c>
      <c r="D1344" s="17" t="s">
        <v>30</v>
      </c>
      <c r="E1344" s="18" t="s">
        <v>3134</v>
      </c>
      <c r="F1344" s="17" t="s">
        <v>1925</v>
      </c>
      <c r="G1344" s="17" t="s">
        <v>1925</v>
      </c>
      <c r="H1344" s="17" t="s">
        <v>46</v>
      </c>
      <c r="I1344" s="18" t="s">
        <v>1926</v>
      </c>
    </row>
    <row r="1345" spans="2:9" hidden="1" x14ac:dyDescent="0.25">
      <c r="B1345" s="17">
        <v>2</v>
      </c>
      <c r="C1345" s="17" t="s">
        <v>1927</v>
      </c>
      <c r="D1345" s="17" t="s">
        <v>30</v>
      </c>
      <c r="E1345" s="18" t="s">
        <v>3135</v>
      </c>
      <c r="F1345" s="17"/>
      <c r="G1345" s="17"/>
      <c r="H1345" s="17"/>
      <c r="I1345" s="18" t="s">
        <v>1928</v>
      </c>
    </row>
    <row r="1346" spans="2:9" hidden="1" x14ac:dyDescent="0.25">
      <c r="B1346" s="17">
        <v>2</v>
      </c>
      <c r="C1346" s="17" t="s">
        <v>1929</v>
      </c>
      <c r="D1346" s="17" t="s">
        <v>40</v>
      </c>
      <c r="E1346" s="18" t="s">
        <v>3136</v>
      </c>
      <c r="F1346" s="17"/>
      <c r="G1346" s="17"/>
      <c r="H1346" s="17"/>
      <c r="I1346" s="18" t="s">
        <v>1928</v>
      </c>
    </row>
    <row r="1347" spans="2:9" hidden="1" x14ac:dyDescent="0.25">
      <c r="B1347" s="17">
        <v>2</v>
      </c>
      <c r="C1347" s="17" t="s">
        <v>1930</v>
      </c>
      <c r="D1347" s="17" t="s">
        <v>30</v>
      </c>
      <c r="E1347" s="18" t="s">
        <v>3137</v>
      </c>
      <c r="F1347" s="17"/>
      <c r="G1347" s="17"/>
      <c r="H1347" s="17"/>
      <c r="I1347" s="18" t="s">
        <v>1928</v>
      </c>
    </row>
    <row r="1348" spans="2:9" hidden="1" x14ac:dyDescent="0.25">
      <c r="B1348" s="17">
        <v>2</v>
      </c>
      <c r="C1348" s="17" t="s">
        <v>1931</v>
      </c>
      <c r="D1348" s="17" t="s">
        <v>42</v>
      </c>
      <c r="E1348" s="18" t="s">
        <v>3138</v>
      </c>
      <c r="F1348" s="17"/>
      <c r="G1348" s="17"/>
      <c r="H1348" s="17"/>
      <c r="I1348" s="18" t="s">
        <v>1932</v>
      </c>
    </row>
    <row r="1349" spans="2:9" hidden="1" x14ac:dyDescent="0.25">
      <c r="B1349" s="17">
        <v>3</v>
      </c>
      <c r="C1349" s="17" t="s">
        <v>598</v>
      </c>
      <c r="D1349" s="17" t="s">
        <v>44</v>
      </c>
      <c r="E1349" s="18" t="s">
        <v>3139</v>
      </c>
      <c r="F1349" s="17"/>
      <c r="G1349" s="17"/>
      <c r="H1349" s="17"/>
      <c r="I1349" s="18" t="s">
        <v>599</v>
      </c>
    </row>
    <row r="1350" spans="2:9" hidden="1" x14ac:dyDescent="0.25">
      <c r="B1350" s="17">
        <v>3</v>
      </c>
      <c r="C1350" s="17" t="s">
        <v>1762</v>
      </c>
      <c r="D1350" s="17" t="s">
        <v>42</v>
      </c>
      <c r="E1350" s="18" t="s">
        <v>3140</v>
      </c>
      <c r="F1350" s="17"/>
      <c r="G1350" s="17"/>
      <c r="H1350" s="17"/>
      <c r="I1350" s="18" t="s">
        <v>441</v>
      </c>
    </row>
    <row r="1351" spans="2:9" hidden="1" x14ac:dyDescent="0.25">
      <c r="B1351" s="17">
        <v>3</v>
      </c>
      <c r="C1351" s="17" t="s">
        <v>1933</v>
      </c>
      <c r="D1351" s="17" t="s">
        <v>40</v>
      </c>
      <c r="E1351" s="18" t="s">
        <v>3141</v>
      </c>
      <c r="F1351" s="17"/>
      <c r="G1351" s="17"/>
      <c r="H1351" s="17"/>
      <c r="I1351" s="18" t="s">
        <v>1934</v>
      </c>
    </row>
    <row r="1352" spans="2:9" hidden="1" x14ac:dyDescent="0.25">
      <c r="B1352" s="17">
        <v>2</v>
      </c>
      <c r="C1352" s="17" t="s">
        <v>1935</v>
      </c>
      <c r="D1352" s="17" t="s">
        <v>40</v>
      </c>
      <c r="E1352" s="18" t="s">
        <v>3142</v>
      </c>
      <c r="F1352" s="17"/>
      <c r="G1352" s="17"/>
      <c r="H1352" s="17"/>
      <c r="I1352" s="18" t="s">
        <v>159</v>
      </c>
    </row>
    <row r="1353" spans="2:9" hidden="1" x14ac:dyDescent="0.25">
      <c r="B1353" s="17">
        <v>3</v>
      </c>
      <c r="C1353" s="17" t="s">
        <v>69</v>
      </c>
      <c r="D1353" s="17" t="s">
        <v>30</v>
      </c>
      <c r="E1353" s="18" t="s">
        <v>3143</v>
      </c>
      <c r="F1353" s="17"/>
      <c r="G1353" s="17"/>
      <c r="H1353" s="17"/>
      <c r="I1353" s="18" t="s">
        <v>70</v>
      </c>
    </row>
    <row r="1354" spans="2:9" hidden="1" x14ac:dyDescent="0.25">
      <c r="B1354" s="17">
        <v>3</v>
      </c>
      <c r="C1354" s="17" t="s">
        <v>1936</v>
      </c>
      <c r="D1354" s="17" t="s">
        <v>30</v>
      </c>
      <c r="E1354" s="18" t="s">
        <v>3144</v>
      </c>
      <c r="F1354" s="17"/>
      <c r="G1354" s="17"/>
      <c r="H1354" s="17"/>
      <c r="I1354" s="18" t="s">
        <v>412</v>
      </c>
    </row>
    <row r="1355" spans="2:9" hidden="1" x14ac:dyDescent="0.25">
      <c r="B1355" s="17">
        <v>3</v>
      </c>
      <c r="C1355" s="17" t="s">
        <v>1937</v>
      </c>
      <c r="D1355" s="17" t="s">
        <v>30</v>
      </c>
      <c r="E1355" s="18" t="s">
        <v>3145</v>
      </c>
      <c r="F1355" s="17"/>
      <c r="G1355" s="17"/>
      <c r="H1355" s="17"/>
      <c r="I1355" s="18" t="s">
        <v>1938</v>
      </c>
    </row>
    <row r="1356" spans="2:9" hidden="1" x14ac:dyDescent="0.25">
      <c r="B1356" s="17">
        <v>3</v>
      </c>
      <c r="C1356" s="17" t="s">
        <v>1939</v>
      </c>
      <c r="D1356" s="17" t="s">
        <v>30</v>
      </c>
      <c r="E1356" s="18" t="s">
        <v>3146</v>
      </c>
      <c r="F1356" s="17"/>
      <c r="G1356" s="17"/>
      <c r="H1356" s="17"/>
      <c r="I1356" s="18" t="s">
        <v>1940</v>
      </c>
    </row>
    <row r="1357" spans="2:9" hidden="1" x14ac:dyDescent="0.25">
      <c r="B1357" s="17">
        <v>3</v>
      </c>
      <c r="C1357" s="17" t="s">
        <v>1941</v>
      </c>
      <c r="D1357" s="17" t="s">
        <v>30</v>
      </c>
      <c r="E1357" s="18" t="s">
        <v>3147</v>
      </c>
      <c r="F1357" s="17"/>
      <c r="G1357" s="17"/>
      <c r="H1357" s="17"/>
      <c r="I1357" s="18" t="s">
        <v>1942</v>
      </c>
    </row>
    <row r="1358" spans="2:9" hidden="1" x14ac:dyDescent="0.25">
      <c r="B1358" s="17">
        <v>3</v>
      </c>
      <c r="C1358" s="17" t="s">
        <v>1943</v>
      </c>
      <c r="D1358" s="17" t="s">
        <v>30</v>
      </c>
      <c r="E1358" s="18" t="s">
        <v>3148</v>
      </c>
      <c r="F1358" s="17"/>
      <c r="G1358" s="17"/>
      <c r="H1358" s="17"/>
      <c r="I1358" s="18" t="s">
        <v>58</v>
      </c>
    </row>
    <row r="1359" spans="2:9" hidden="1" x14ac:dyDescent="0.25">
      <c r="B1359" s="17">
        <v>2</v>
      </c>
      <c r="C1359" s="17" t="s">
        <v>1944</v>
      </c>
      <c r="D1359" s="17" t="s">
        <v>30</v>
      </c>
      <c r="E1359" s="18" t="s">
        <v>3149</v>
      </c>
      <c r="F1359" s="17"/>
      <c r="G1359" s="17"/>
      <c r="H1359" s="17"/>
      <c r="I1359" s="18" t="s">
        <v>159</v>
      </c>
    </row>
    <row r="1360" spans="2:9" hidden="1" x14ac:dyDescent="0.25">
      <c r="B1360" s="17">
        <v>3</v>
      </c>
      <c r="C1360" s="17" t="s">
        <v>69</v>
      </c>
      <c r="D1360" s="17" t="s">
        <v>30</v>
      </c>
      <c r="E1360" s="18" t="s">
        <v>3143</v>
      </c>
      <c r="F1360" s="17"/>
      <c r="G1360" s="17"/>
      <c r="H1360" s="17"/>
      <c r="I1360" s="18" t="s">
        <v>70</v>
      </c>
    </row>
    <row r="1361" spans="2:9" hidden="1" x14ac:dyDescent="0.25">
      <c r="B1361" s="17">
        <v>3</v>
      </c>
      <c r="C1361" s="17" t="s">
        <v>1945</v>
      </c>
      <c r="D1361" s="17" t="s">
        <v>30</v>
      </c>
      <c r="E1361" s="18" t="s">
        <v>3150</v>
      </c>
      <c r="F1361" s="17"/>
      <c r="G1361" s="17"/>
      <c r="H1361" s="17"/>
      <c r="I1361" s="18" t="s">
        <v>412</v>
      </c>
    </row>
    <row r="1362" spans="2:9" hidden="1" x14ac:dyDescent="0.25">
      <c r="B1362" s="17">
        <v>3</v>
      </c>
      <c r="C1362" s="17" t="s">
        <v>1937</v>
      </c>
      <c r="D1362" s="17" t="s">
        <v>30</v>
      </c>
      <c r="E1362" s="18" t="s">
        <v>3145</v>
      </c>
      <c r="F1362" s="17"/>
      <c r="G1362" s="17"/>
      <c r="H1362" s="17"/>
      <c r="I1362" s="18" t="s">
        <v>1938</v>
      </c>
    </row>
    <row r="1363" spans="2:9" hidden="1" x14ac:dyDescent="0.25">
      <c r="B1363" s="17">
        <v>3</v>
      </c>
      <c r="C1363" s="17" t="s">
        <v>1939</v>
      </c>
      <c r="D1363" s="17" t="s">
        <v>30</v>
      </c>
      <c r="E1363" s="18" t="s">
        <v>3146</v>
      </c>
      <c r="F1363" s="17"/>
      <c r="G1363" s="17"/>
      <c r="H1363" s="17"/>
      <c r="I1363" s="18" t="s">
        <v>1940</v>
      </c>
    </row>
    <row r="1364" spans="2:9" hidden="1" x14ac:dyDescent="0.25">
      <c r="B1364" s="17">
        <v>3</v>
      </c>
      <c r="C1364" s="17" t="s">
        <v>1941</v>
      </c>
      <c r="D1364" s="17" t="s">
        <v>30</v>
      </c>
      <c r="E1364" s="18" t="s">
        <v>3147</v>
      </c>
      <c r="F1364" s="17"/>
      <c r="G1364" s="17"/>
      <c r="H1364" s="17"/>
      <c r="I1364" s="18" t="s">
        <v>1942</v>
      </c>
    </row>
    <row r="1365" spans="2:9" hidden="1" x14ac:dyDescent="0.25">
      <c r="B1365" s="17">
        <v>3</v>
      </c>
      <c r="C1365" s="17" t="s">
        <v>1943</v>
      </c>
      <c r="D1365" s="17" t="s">
        <v>30</v>
      </c>
      <c r="E1365" s="18" t="s">
        <v>3148</v>
      </c>
      <c r="F1365" s="17"/>
      <c r="G1365" s="17"/>
      <c r="H1365" s="17"/>
      <c r="I1365" s="18" t="s">
        <v>58</v>
      </c>
    </row>
    <row r="1366" spans="2:9" hidden="1" x14ac:dyDescent="0.25">
      <c r="B1366" s="17">
        <v>2</v>
      </c>
      <c r="C1366" s="17" t="s">
        <v>105</v>
      </c>
      <c r="D1366" s="17" t="s">
        <v>40</v>
      </c>
      <c r="E1366" s="18" t="s">
        <v>2982</v>
      </c>
      <c r="F1366" s="17"/>
      <c r="G1366" s="17"/>
      <c r="H1366" s="17"/>
      <c r="I1366" s="18" t="s">
        <v>106</v>
      </c>
    </row>
    <row r="1367" spans="2:9" hidden="1" x14ac:dyDescent="0.25">
      <c r="B1367" s="17">
        <v>2</v>
      </c>
      <c r="C1367" s="17" t="s">
        <v>55</v>
      </c>
      <c r="D1367" s="17" t="s">
        <v>40</v>
      </c>
      <c r="E1367" s="18" t="s">
        <v>2996</v>
      </c>
      <c r="F1367" s="17"/>
      <c r="G1367" s="17"/>
      <c r="H1367" s="17"/>
      <c r="I1367" s="18" t="s">
        <v>56</v>
      </c>
    </row>
    <row r="1368" spans="2:9" hidden="1" x14ac:dyDescent="0.25">
      <c r="B1368" s="17">
        <v>1</v>
      </c>
      <c r="C1368" s="17" t="s">
        <v>931</v>
      </c>
      <c r="D1368" s="17" t="s">
        <v>30</v>
      </c>
      <c r="E1368" s="18" t="s">
        <v>3151</v>
      </c>
      <c r="F1368" s="17"/>
      <c r="G1368" s="17"/>
      <c r="H1368" s="17"/>
      <c r="I1368" s="18" t="s">
        <v>828</v>
      </c>
    </row>
    <row r="1369" spans="2:9" hidden="1" x14ac:dyDescent="0.25">
      <c r="B1369" s="17">
        <v>1</v>
      </c>
      <c r="C1369" s="17" t="s">
        <v>1946</v>
      </c>
      <c r="D1369" s="17" t="s">
        <v>30</v>
      </c>
      <c r="E1369" s="18" t="s">
        <v>3152</v>
      </c>
      <c r="F1369" s="17"/>
      <c r="G1369" s="17"/>
      <c r="H1369" s="17"/>
      <c r="I1369" s="18" t="s">
        <v>1947</v>
      </c>
    </row>
    <row r="1370" spans="2:9" hidden="1" x14ac:dyDescent="0.25">
      <c r="B1370" s="17">
        <v>2</v>
      </c>
      <c r="C1370" s="17" t="s">
        <v>1948</v>
      </c>
      <c r="D1370" s="17" t="s">
        <v>30</v>
      </c>
      <c r="E1370" s="18" t="s">
        <v>3153</v>
      </c>
      <c r="F1370" s="17"/>
      <c r="G1370" s="17"/>
      <c r="H1370" s="17"/>
      <c r="I1370" s="18" t="s">
        <v>1949</v>
      </c>
    </row>
    <row r="1371" spans="2:9" hidden="1" x14ac:dyDescent="0.25">
      <c r="B1371" s="17">
        <v>3</v>
      </c>
      <c r="C1371" s="17" t="s">
        <v>1948</v>
      </c>
      <c r="D1371" s="17" t="s">
        <v>30</v>
      </c>
      <c r="E1371" s="18" t="s">
        <v>3154</v>
      </c>
      <c r="F1371" s="17"/>
      <c r="G1371" s="17"/>
      <c r="H1371" s="17"/>
      <c r="I1371" s="18" t="s">
        <v>1949</v>
      </c>
    </row>
    <row r="1372" spans="2:9" hidden="1" x14ac:dyDescent="0.25">
      <c r="B1372" s="17">
        <v>3</v>
      </c>
      <c r="C1372" s="17" t="s">
        <v>1950</v>
      </c>
      <c r="D1372" s="17" t="s">
        <v>30</v>
      </c>
      <c r="E1372" s="18" t="s">
        <v>3155</v>
      </c>
      <c r="F1372" s="17"/>
      <c r="G1372" s="17"/>
      <c r="H1372" s="17"/>
      <c r="I1372" s="18" t="s">
        <v>1951</v>
      </c>
    </row>
    <row r="1373" spans="2:9" hidden="1" x14ac:dyDescent="0.25">
      <c r="B1373" s="17">
        <v>2</v>
      </c>
      <c r="C1373" s="17" t="s">
        <v>1952</v>
      </c>
      <c r="D1373" s="17" t="s">
        <v>30</v>
      </c>
      <c r="E1373" s="18" t="s">
        <v>3156</v>
      </c>
      <c r="F1373" s="17"/>
      <c r="G1373" s="17"/>
      <c r="H1373" s="17"/>
      <c r="I1373" s="18" t="s">
        <v>1953</v>
      </c>
    </row>
    <row r="1374" spans="2:9" hidden="1" x14ac:dyDescent="0.25">
      <c r="B1374" s="17">
        <v>2</v>
      </c>
      <c r="C1374" s="17" t="s">
        <v>1954</v>
      </c>
      <c r="D1374" s="17" t="s">
        <v>30</v>
      </c>
      <c r="E1374" s="18" t="s">
        <v>3157</v>
      </c>
      <c r="F1374" s="17"/>
      <c r="G1374" s="17"/>
      <c r="H1374" s="17"/>
      <c r="I1374" s="18" t="s">
        <v>1955</v>
      </c>
    </row>
    <row r="1375" spans="2:9" hidden="1" x14ac:dyDescent="0.25">
      <c r="B1375" s="17">
        <v>2</v>
      </c>
      <c r="C1375" s="17" t="s">
        <v>1956</v>
      </c>
      <c r="D1375" s="17" t="s">
        <v>42</v>
      </c>
      <c r="E1375" s="18" t="s">
        <v>3158</v>
      </c>
      <c r="F1375" s="17"/>
      <c r="G1375" s="17"/>
      <c r="H1375" s="17"/>
      <c r="I1375" s="18" t="s">
        <v>1957</v>
      </c>
    </row>
    <row r="1376" spans="2:9" hidden="1" x14ac:dyDescent="0.25">
      <c r="B1376" s="17">
        <v>2</v>
      </c>
      <c r="C1376" s="17" t="s">
        <v>1958</v>
      </c>
      <c r="D1376" s="17" t="s">
        <v>42</v>
      </c>
      <c r="E1376" s="18" t="s">
        <v>3159</v>
      </c>
      <c r="F1376" s="17"/>
      <c r="G1376" s="17"/>
      <c r="H1376" s="17"/>
      <c r="I1376" s="18" t="s">
        <v>1959</v>
      </c>
    </row>
    <row r="1377" spans="2:9" hidden="1" x14ac:dyDescent="0.25">
      <c r="B1377" s="17">
        <v>2</v>
      </c>
      <c r="C1377" s="17" t="s">
        <v>1960</v>
      </c>
      <c r="D1377" s="17" t="s">
        <v>40</v>
      </c>
      <c r="E1377" s="18" t="s">
        <v>3160</v>
      </c>
      <c r="F1377" s="17"/>
      <c r="G1377" s="17"/>
      <c r="H1377" s="17"/>
      <c r="I1377" s="18" t="s">
        <v>1961</v>
      </c>
    </row>
    <row r="1378" spans="2:9" hidden="1" x14ac:dyDescent="0.25">
      <c r="B1378" s="17">
        <v>2</v>
      </c>
      <c r="C1378" s="17" t="s">
        <v>1962</v>
      </c>
      <c r="D1378" s="17" t="s">
        <v>30</v>
      </c>
      <c r="E1378" s="18" t="s">
        <v>3161</v>
      </c>
      <c r="F1378" s="17"/>
      <c r="G1378" s="17"/>
      <c r="H1378" s="17"/>
      <c r="I1378" s="18" t="s">
        <v>1963</v>
      </c>
    </row>
    <row r="1379" spans="2:9" hidden="1" x14ac:dyDescent="0.25">
      <c r="B1379" s="17">
        <v>3</v>
      </c>
      <c r="C1379" s="17" t="s">
        <v>1178</v>
      </c>
      <c r="D1379" s="17" t="s">
        <v>49</v>
      </c>
      <c r="E1379" s="18" t="s">
        <v>3162</v>
      </c>
      <c r="F1379" s="17"/>
      <c r="G1379" s="17"/>
      <c r="H1379" s="17"/>
      <c r="I1379" s="18" t="s">
        <v>127</v>
      </c>
    </row>
    <row r="1380" spans="2:9" hidden="1" x14ac:dyDescent="0.25">
      <c r="B1380" s="17">
        <v>3</v>
      </c>
      <c r="C1380" s="17" t="s">
        <v>1964</v>
      </c>
      <c r="D1380" s="17" t="s">
        <v>30</v>
      </c>
      <c r="E1380" s="18" t="s">
        <v>3163</v>
      </c>
      <c r="F1380" s="17"/>
      <c r="G1380" s="17"/>
      <c r="H1380" s="17"/>
      <c r="I1380" s="18" t="s">
        <v>1965</v>
      </c>
    </row>
    <row r="1381" spans="2:9" hidden="1" x14ac:dyDescent="0.25">
      <c r="B1381" s="17">
        <v>2</v>
      </c>
      <c r="C1381" s="17" t="s">
        <v>802</v>
      </c>
      <c r="D1381" s="17" t="s">
        <v>30</v>
      </c>
      <c r="E1381" s="18" t="s">
        <v>3164</v>
      </c>
      <c r="F1381" s="17"/>
      <c r="G1381" s="17"/>
      <c r="H1381" s="17"/>
      <c r="I1381" s="18" t="s">
        <v>803</v>
      </c>
    </row>
    <row r="1382" spans="2:9" hidden="1" x14ac:dyDescent="0.25">
      <c r="B1382" s="17">
        <v>2</v>
      </c>
      <c r="C1382" s="17" t="s">
        <v>1966</v>
      </c>
      <c r="D1382" s="17" t="s">
        <v>30</v>
      </c>
      <c r="E1382" s="18" t="s">
        <v>3165</v>
      </c>
      <c r="F1382" s="17"/>
      <c r="G1382" s="17"/>
      <c r="H1382" s="17"/>
      <c r="I1382" s="18" t="s">
        <v>1967</v>
      </c>
    </row>
    <row r="1383" spans="2:9" x14ac:dyDescent="0.25">
      <c r="B1383" s="17">
        <v>1</v>
      </c>
      <c r="C1383" s="17" t="s">
        <v>1968</v>
      </c>
      <c r="D1383" s="17" t="s">
        <v>30</v>
      </c>
      <c r="E1383" s="18" t="s">
        <v>3166</v>
      </c>
      <c r="F1383" s="17" t="s">
        <v>31</v>
      </c>
      <c r="G1383" s="17" t="s">
        <v>332</v>
      </c>
      <c r="H1383" s="17" t="s">
        <v>332</v>
      </c>
      <c r="I1383" s="18" t="s">
        <v>1969</v>
      </c>
    </row>
    <row r="1384" spans="2:9" hidden="1" x14ac:dyDescent="0.25">
      <c r="B1384" s="17">
        <v>2</v>
      </c>
      <c r="C1384" s="17" t="s">
        <v>1970</v>
      </c>
      <c r="D1384" s="17" t="s">
        <v>40</v>
      </c>
      <c r="E1384" s="18" t="s">
        <v>3167</v>
      </c>
      <c r="F1384" s="17"/>
      <c r="G1384" s="17"/>
      <c r="H1384" s="17"/>
      <c r="I1384" s="18" t="s">
        <v>1971</v>
      </c>
    </row>
    <row r="1385" spans="2:9" hidden="1" x14ac:dyDescent="0.25">
      <c r="B1385" s="17">
        <v>2</v>
      </c>
      <c r="C1385" s="17" t="s">
        <v>1972</v>
      </c>
      <c r="D1385" s="17" t="s">
        <v>40</v>
      </c>
      <c r="E1385" s="18" t="s">
        <v>3168</v>
      </c>
      <c r="F1385" s="17"/>
      <c r="G1385" s="17"/>
      <c r="H1385" s="17"/>
      <c r="I1385" s="18" t="s">
        <v>1973</v>
      </c>
    </row>
    <row r="1386" spans="2:9" hidden="1" x14ac:dyDescent="0.25">
      <c r="B1386" s="17">
        <v>2</v>
      </c>
      <c r="C1386" s="17" t="s">
        <v>1974</v>
      </c>
      <c r="D1386" s="17" t="s">
        <v>30</v>
      </c>
      <c r="E1386" s="18" t="s">
        <v>3169</v>
      </c>
      <c r="F1386" s="17"/>
      <c r="G1386" s="17"/>
      <c r="H1386" s="17"/>
      <c r="I1386" s="18" t="s">
        <v>1975</v>
      </c>
    </row>
    <row r="1387" spans="2:9" hidden="1" x14ac:dyDescent="0.25">
      <c r="B1387" s="17">
        <v>3</v>
      </c>
      <c r="C1387" s="17" t="s">
        <v>1976</v>
      </c>
      <c r="D1387" s="17" t="s">
        <v>30</v>
      </c>
      <c r="E1387" s="18" t="s">
        <v>3170</v>
      </c>
      <c r="F1387" s="17"/>
      <c r="G1387" s="17"/>
      <c r="H1387" s="17"/>
      <c r="I1387" s="18" t="s">
        <v>1977</v>
      </c>
    </row>
    <row r="1388" spans="2:9" hidden="1" x14ac:dyDescent="0.25">
      <c r="B1388" s="17">
        <v>3</v>
      </c>
      <c r="C1388" s="17" t="s">
        <v>1978</v>
      </c>
      <c r="D1388" s="17" t="s">
        <v>30</v>
      </c>
      <c r="E1388" s="18" t="s">
        <v>3171</v>
      </c>
      <c r="F1388" s="17"/>
      <c r="G1388" s="17"/>
      <c r="H1388" s="17"/>
      <c r="I1388" s="18" t="s">
        <v>1979</v>
      </c>
    </row>
    <row r="1389" spans="2:9" hidden="1" x14ac:dyDescent="0.25">
      <c r="B1389" s="17">
        <v>3</v>
      </c>
      <c r="C1389" s="17" t="s">
        <v>1980</v>
      </c>
      <c r="D1389" s="17" t="s">
        <v>30</v>
      </c>
      <c r="E1389" s="18" t="s">
        <v>3172</v>
      </c>
      <c r="F1389" s="17"/>
      <c r="G1389" s="17"/>
      <c r="H1389" s="17"/>
      <c r="I1389" s="18" t="s">
        <v>1981</v>
      </c>
    </row>
    <row r="1390" spans="2:9" hidden="1" x14ac:dyDescent="0.25">
      <c r="B1390" s="17">
        <v>2</v>
      </c>
      <c r="C1390" s="17" t="s">
        <v>1982</v>
      </c>
      <c r="D1390" s="17" t="s">
        <v>30</v>
      </c>
      <c r="E1390" s="18" t="s">
        <v>3173</v>
      </c>
      <c r="F1390" s="17"/>
      <c r="G1390" s="17"/>
      <c r="H1390" s="17"/>
      <c r="I1390" s="18" t="s">
        <v>1983</v>
      </c>
    </row>
    <row r="1391" spans="2:9" hidden="1" x14ac:dyDescent="0.25">
      <c r="B1391" s="17">
        <v>3</v>
      </c>
      <c r="C1391" s="17" t="s">
        <v>850</v>
      </c>
      <c r="D1391" s="17" t="s">
        <v>30</v>
      </c>
      <c r="E1391" s="18" t="s">
        <v>3174</v>
      </c>
      <c r="F1391" s="17"/>
      <c r="G1391" s="17"/>
      <c r="H1391" s="17"/>
      <c r="I1391" s="18" t="s">
        <v>851</v>
      </c>
    </row>
    <row r="1392" spans="2:9" hidden="1" x14ac:dyDescent="0.25">
      <c r="B1392" s="17">
        <v>3</v>
      </c>
      <c r="C1392" s="17" t="s">
        <v>1984</v>
      </c>
      <c r="D1392" s="17" t="s">
        <v>30</v>
      </c>
      <c r="E1392" s="18" t="s">
        <v>3175</v>
      </c>
      <c r="F1392" s="17"/>
      <c r="G1392" s="17"/>
      <c r="H1392" s="17"/>
      <c r="I1392" s="18" t="s">
        <v>437</v>
      </c>
    </row>
    <row r="1393" spans="2:9" hidden="1" x14ac:dyDescent="0.25">
      <c r="B1393" s="17">
        <v>2</v>
      </c>
      <c r="C1393" s="17" t="s">
        <v>1985</v>
      </c>
      <c r="D1393" s="17" t="s">
        <v>30</v>
      </c>
      <c r="E1393" s="18" t="s">
        <v>3176</v>
      </c>
      <c r="F1393" s="17"/>
      <c r="G1393" s="17"/>
      <c r="H1393" s="17"/>
      <c r="I1393" s="18" t="s">
        <v>1986</v>
      </c>
    </row>
    <row r="1394" spans="2:9" x14ac:dyDescent="0.25">
      <c r="B1394" s="17">
        <v>2</v>
      </c>
      <c r="C1394" s="17" t="s">
        <v>1987</v>
      </c>
      <c r="D1394" s="17" t="s">
        <v>30</v>
      </c>
      <c r="E1394" s="18" t="s">
        <v>3177</v>
      </c>
      <c r="F1394" s="17" t="s">
        <v>31</v>
      </c>
      <c r="G1394" s="17" t="s">
        <v>332</v>
      </c>
      <c r="H1394" s="17" t="s">
        <v>332</v>
      </c>
      <c r="I1394" s="18" t="s">
        <v>1988</v>
      </c>
    </row>
    <row r="1395" spans="2:9" hidden="1" x14ac:dyDescent="0.25">
      <c r="B1395" s="17">
        <v>3</v>
      </c>
      <c r="C1395" s="17" t="s">
        <v>1989</v>
      </c>
      <c r="D1395" s="17" t="s">
        <v>49</v>
      </c>
      <c r="E1395" s="18" t="s">
        <v>3178</v>
      </c>
      <c r="F1395" s="17"/>
      <c r="G1395" s="17"/>
      <c r="H1395" s="17"/>
      <c r="I1395" s="18" t="s">
        <v>123</v>
      </c>
    </row>
    <row r="1396" spans="2:9" hidden="1" x14ac:dyDescent="0.25">
      <c r="B1396" s="17">
        <v>3</v>
      </c>
      <c r="C1396" s="17" t="s">
        <v>126</v>
      </c>
      <c r="D1396" s="17" t="s">
        <v>49</v>
      </c>
      <c r="E1396" s="18" t="s">
        <v>3179</v>
      </c>
      <c r="F1396" s="17"/>
      <c r="G1396" s="17"/>
      <c r="H1396" s="17"/>
      <c r="I1396" s="18" t="s">
        <v>127</v>
      </c>
    </row>
    <row r="1397" spans="2:9" hidden="1" x14ac:dyDescent="0.25">
      <c r="B1397" s="17">
        <v>3</v>
      </c>
      <c r="C1397" s="17" t="s">
        <v>417</v>
      </c>
      <c r="D1397" s="17" t="s">
        <v>49</v>
      </c>
      <c r="E1397" s="18" t="s">
        <v>3029</v>
      </c>
      <c r="F1397" s="17"/>
      <c r="G1397" s="17"/>
      <c r="H1397" s="17"/>
      <c r="I1397" s="18" t="s">
        <v>125</v>
      </c>
    </row>
    <row r="1398" spans="2:9" hidden="1" x14ac:dyDescent="0.25">
      <c r="B1398" s="17">
        <v>3</v>
      </c>
      <c r="C1398" s="17" t="s">
        <v>1990</v>
      </c>
      <c r="D1398" s="17" t="s">
        <v>43</v>
      </c>
      <c r="E1398" s="18" t="s">
        <v>3180</v>
      </c>
      <c r="F1398" s="17"/>
      <c r="G1398" s="17"/>
      <c r="H1398" s="17"/>
      <c r="I1398" s="18" t="s">
        <v>1991</v>
      </c>
    </row>
    <row r="1399" spans="2:9" x14ac:dyDescent="0.25">
      <c r="B1399" s="17">
        <v>3</v>
      </c>
      <c r="C1399" s="17" t="s">
        <v>1992</v>
      </c>
      <c r="D1399" s="17" t="s">
        <v>44</v>
      </c>
      <c r="E1399" s="18" t="s">
        <v>3181</v>
      </c>
      <c r="F1399" s="17" t="s">
        <v>1993</v>
      </c>
      <c r="G1399" s="17" t="s">
        <v>1993</v>
      </c>
      <c r="H1399" s="17" t="s">
        <v>1994</v>
      </c>
      <c r="I1399" s="18" t="s">
        <v>1995</v>
      </c>
    </row>
    <row r="1400" spans="2:9" hidden="1" x14ac:dyDescent="0.25">
      <c r="B1400" s="17">
        <v>3</v>
      </c>
      <c r="C1400" s="17" t="s">
        <v>801</v>
      </c>
      <c r="D1400" s="17" t="s">
        <v>30</v>
      </c>
      <c r="E1400" s="18" t="s">
        <v>3182</v>
      </c>
      <c r="F1400" s="17"/>
      <c r="G1400" s="17"/>
      <c r="H1400" s="17"/>
      <c r="I1400" s="18" t="s">
        <v>106</v>
      </c>
    </row>
    <row r="1401" spans="2:9" hidden="1" x14ac:dyDescent="0.25">
      <c r="B1401" s="17">
        <v>3</v>
      </c>
      <c r="C1401" s="17" t="s">
        <v>107</v>
      </c>
      <c r="D1401" s="17" t="s">
        <v>40</v>
      </c>
      <c r="E1401" s="18" t="s">
        <v>167</v>
      </c>
      <c r="F1401" s="17"/>
      <c r="G1401" s="17"/>
      <c r="H1401" s="17"/>
      <c r="I1401" s="18" t="s">
        <v>108</v>
      </c>
    </row>
    <row r="1402" spans="2:9" hidden="1" x14ac:dyDescent="0.25">
      <c r="B1402" s="17">
        <v>2</v>
      </c>
      <c r="C1402" s="17" t="s">
        <v>1996</v>
      </c>
      <c r="D1402" s="17" t="s">
        <v>40</v>
      </c>
      <c r="E1402" s="18" t="s">
        <v>3183</v>
      </c>
      <c r="F1402" s="17"/>
      <c r="G1402" s="17"/>
      <c r="H1402" s="17"/>
      <c r="I1402" s="18" t="s">
        <v>1037</v>
      </c>
    </row>
    <row r="1403" spans="2:9" hidden="1" x14ac:dyDescent="0.25">
      <c r="B1403" s="17">
        <v>2</v>
      </c>
      <c r="C1403" s="17" t="s">
        <v>1997</v>
      </c>
      <c r="D1403" s="17" t="s">
        <v>30</v>
      </c>
      <c r="E1403" s="18" t="s">
        <v>3184</v>
      </c>
      <c r="F1403" s="17"/>
      <c r="G1403" s="17"/>
      <c r="H1403" s="17"/>
      <c r="I1403" s="18" t="s">
        <v>1015</v>
      </c>
    </row>
    <row r="1404" spans="2:9" hidden="1" x14ac:dyDescent="0.25">
      <c r="B1404" s="17">
        <v>2</v>
      </c>
      <c r="C1404" s="17" t="s">
        <v>136</v>
      </c>
      <c r="D1404" s="17" t="s">
        <v>40</v>
      </c>
      <c r="E1404" s="18" t="s">
        <v>3185</v>
      </c>
      <c r="F1404" s="17"/>
      <c r="G1404" s="17"/>
      <c r="H1404" s="17"/>
      <c r="I1404" s="18" t="s">
        <v>1365</v>
      </c>
    </row>
    <row r="1405" spans="2:9" hidden="1" x14ac:dyDescent="0.25">
      <c r="B1405" s="17">
        <v>2</v>
      </c>
      <c r="C1405" s="17" t="s">
        <v>426</v>
      </c>
      <c r="D1405" s="17" t="s">
        <v>40</v>
      </c>
      <c r="E1405" s="18" t="s">
        <v>3038</v>
      </c>
      <c r="F1405" s="17"/>
      <c r="G1405" s="17"/>
      <c r="H1405" s="17"/>
      <c r="I1405" s="18" t="s">
        <v>427</v>
      </c>
    </row>
    <row r="1406" spans="2:9" hidden="1" x14ac:dyDescent="0.25">
      <c r="B1406" s="17">
        <v>2</v>
      </c>
      <c r="C1406" s="17" t="s">
        <v>1052</v>
      </c>
      <c r="D1406" s="17" t="s">
        <v>30</v>
      </c>
      <c r="E1406" s="18" t="s">
        <v>3063</v>
      </c>
      <c r="F1406" s="17"/>
      <c r="G1406" s="17"/>
      <c r="H1406" s="17"/>
      <c r="I1406" s="18" t="s">
        <v>1053</v>
      </c>
    </row>
    <row r="1407" spans="2:9" hidden="1" x14ac:dyDescent="0.25">
      <c r="B1407" s="17">
        <v>2</v>
      </c>
      <c r="C1407" s="17" t="s">
        <v>428</v>
      </c>
      <c r="D1407" s="17" t="s">
        <v>30</v>
      </c>
      <c r="E1407" s="18" t="s">
        <v>3186</v>
      </c>
      <c r="F1407" s="17"/>
      <c r="G1407" s="17"/>
      <c r="H1407" s="17"/>
      <c r="I1407" s="18" t="s">
        <v>106</v>
      </c>
    </row>
    <row r="1408" spans="2:9" hidden="1" x14ac:dyDescent="0.25">
      <c r="B1408" s="17">
        <v>2</v>
      </c>
      <c r="C1408" s="17" t="s">
        <v>1998</v>
      </c>
      <c r="D1408" s="17" t="s">
        <v>30</v>
      </c>
      <c r="E1408" s="18" t="s">
        <v>3187</v>
      </c>
      <c r="F1408" s="17"/>
      <c r="G1408" s="17"/>
      <c r="H1408" s="17"/>
      <c r="I1408" s="18" t="s">
        <v>108</v>
      </c>
    </row>
    <row r="1409" spans="2:9" hidden="1" x14ac:dyDescent="0.25">
      <c r="B1409" s="17">
        <v>2</v>
      </c>
      <c r="C1409" s="17" t="s">
        <v>107</v>
      </c>
      <c r="D1409" s="17" t="s">
        <v>40</v>
      </c>
      <c r="E1409" s="18" t="s">
        <v>2983</v>
      </c>
      <c r="F1409" s="17"/>
      <c r="G1409" s="17"/>
      <c r="H1409" s="17"/>
      <c r="I1409" s="18" t="s">
        <v>108</v>
      </c>
    </row>
    <row r="1410" spans="2:9" hidden="1" x14ac:dyDescent="0.25">
      <c r="B1410" s="17">
        <v>2</v>
      </c>
      <c r="C1410" s="17" t="s">
        <v>899</v>
      </c>
      <c r="D1410" s="17" t="s">
        <v>40</v>
      </c>
      <c r="E1410" s="18" t="s">
        <v>3064</v>
      </c>
      <c r="F1410" s="17"/>
      <c r="G1410" s="17"/>
      <c r="H1410" s="17"/>
      <c r="I1410" s="18" t="s">
        <v>900</v>
      </c>
    </row>
    <row r="1411" spans="2:9" hidden="1" x14ac:dyDescent="0.25">
      <c r="B1411" s="17">
        <v>2</v>
      </c>
      <c r="C1411" s="17" t="s">
        <v>55</v>
      </c>
      <c r="D1411" s="17" t="s">
        <v>40</v>
      </c>
      <c r="E1411" s="18" t="s">
        <v>2996</v>
      </c>
      <c r="F1411" s="17"/>
      <c r="G1411" s="17"/>
      <c r="H1411" s="17"/>
      <c r="I1411" s="18" t="s">
        <v>56</v>
      </c>
    </row>
    <row r="1412" spans="2:9" hidden="1" x14ac:dyDescent="0.25">
      <c r="B1412" s="17">
        <v>2</v>
      </c>
      <c r="C1412" s="17" t="s">
        <v>1999</v>
      </c>
      <c r="D1412" s="17" t="s">
        <v>30</v>
      </c>
      <c r="E1412" s="18" t="s">
        <v>3188</v>
      </c>
      <c r="F1412" s="17"/>
      <c r="G1412" s="17"/>
      <c r="H1412" s="17"/>
      <c r="I1412" s="18" t="s">
        <v>2000</v>
      </c>
    </row>
    <row r="1413" spans="2:9" hidden="1" x14ac:dyDescent="0.25">
      <c r="B1413" s="17">
        <v>2</v>
      </c>
      <c r="C1413" s="17" t="s">
        <v>2001</v>
      </c>
      <c r="D1413" s="17" t="s">
        <v>30</v>
      </c>
      <c r="E1413" s="18" t="s">
        <v>3189</v>
      </c>
      <c r="F1413" s="17"/>
      <c r="G1413" s="17"/>
      <c r="H1413" s="17"/>
      <c r="I1413" s="18" t="s">
        <v>830</v>
      </c>
    </row>
    <row r="1414" spans="2:9" x14ac:dyDescent="0.25">
      <c r="B1414" s="17">
        <v>1</v>
      </c>
      <c r="C1414" s="17" t="s">
        <v>2002</v>
      </c>
      <c r="D1414" s="17" t="s">
        <v>30</v>
      </c>
      <c r="E1414" s="18" t="s">
        <v>3190</v>
      </c>
      <c r="F1414" s="17" t="s">
        <v>2003</v>
      </c>
      <c r="G1414" s="17" t="s">
        <v>332</v>
      </c>
      <c r="H1414" s="17" t="s">
        <v>332</v>
      </c>
      <c r="I1414" s="18" t="s">
        <v>2004</v>
      </c>
    </row>
    <row r="1415" spans="2:9" hidden="1" x14ac:dyDescent="0.25">
      <c r="B1415" s="17">
        <v>2</v>
      </c>
      <c r="C1415" s="17" t="s">
        <v>2005</v>
      </c>
      <c r="D1415" s="17" t="s">
        <v>30</v>
      </c>
      <c r="E1415" s="18" t="s">
        <v>3191</v>
      </c>
      <c r="F1415" s="17"/>
      <c r="G1415" s="17"/>
      <c r="H1415" s="17"/>
      <c r="I1415" s="18" t="s">
        <v>2006</v>
      </c>
    </row>
    <row r="1416" spans="2:9" hidden="1" x14ac:dyDescent="0.25">
      <c r="B1416" s="17">
        <v>2</v>
      </c>
      <c r="C1416" s="17" t="s">
        <v>2007</v>
      </c>
      <c r="D1416" s="17" t="s">
        <v>30</v>
      </c>
      <c r="E1416" s="18" t="s">
        <v>3192</v>
      </c>
      <c r="F1416" s="17"/>
      <c r="G1416" s="17"/>
      <c r="H1416" s="17"/>
      <c r="I1416" s="18" t="s">
        <v>2008</v>
      </c>
    </row>
    <row r="1417" spans="2:9" hidden="1" x14ac:dyDescent="0.25">
      <c r="B1417" s="17">
        <v>2</v>
      </c>
      <c r="C1417" s="17" t="s">
        <v>2009</v>
      </c>
      <c r="D1417" s="17" t="s">
        <v>30</v>
      </c>
      <c r="E1417" s="18" t="s">
        <v>3193</v>
      </c>
      <c r="F1417" s="17"/>
      <c r="G1417" s="17"/>
      <c r="H1417" s="17"/>
      <c r="I1417" s="18" t="s">
        <v>2010</v>
      </c>
    </row>
    <row r="1418" spans="2:9" hidden="1" x14ac:dyDescent="0.25">
      <c r="B1418" s="17">
        <v>2</v>
      </c>
      <c r="C1418" s="17" t="s">
        <v>2011</v>
      </c>
      <c r="D1418" s="17" t="s">
        <v>30</v>
      </c>
      <c r="E1418" s="18" t="s">
        <v>3194</v>
      </c>
      <c r="F1418" s="17"/>
      <c r="G1418" s="17"/>
      <c r="H1418" s="17"/>
      <c r="I1418" s="18" t="s">
        <v>2010</v>
      </c>
    </row>
    <row r="1419" spans="2:9" x14ac:dyDescent="0.25">
      <c r="B1419" s="17">
        <v>2</v>
      </c>
      <c r="C1419" s="17" t="s">
        <v>2012</v>
      </c>
      <c r="D1419" s="17" t="s">
        <v>44</v>
      </c>
      <c r="E1419" s="18" t="s">
        <v>3195</v>
      </c>
      <c r="F1419" s="17" t="s">
        <v>2013</v>
      </c>
      <c r="G1419" s="17" t="s">
        <v>2013</v>
      </c>
      <c r="H1419" s="17" t="s">
        <v>1994</v>
      </c>
      <c r="I1419" s="18" t="s">
        <v>2014</v>
      </c>
    </row>
    <row r="1420" spans="2:9" hidden="1" x14ac:dyDescent="0.25">
      <c r="B1420" s="17">
        <v>2</v>
      </c>
      <c r="C1420" s="17" t="s">
        <v>2015</v>
      </c>
      <c r="D1420" s="17" t="s">
        <v>30</v>
      </c>
      <c r="E1420" s="18" t="s">
        <v>3196</v>
      </c>
      <c r="F1420" s="17"/>
      <c r="G1420" s="17"/>
      <c r="H1420" s="17"/>
      <c r="I1420" s="18" t="s">
        <v>2004</v>
      </c>
    </row>
    <row r="1421" spans="2:9" hidden="1" x14ac:dyDescent="0.25">
      <c r="B1421" s="17">
        <v>3</v>
      </c>
      <c r="C1421" s="17" t="s">
        <v>2016</v>
      </c>
      <c r="D1421" s="17" t="s">
        <v>30</v>
      </c>
      <c r="E1421" s="18" t="s">
        <v>3197</v>
      </c>
      <c r="F1421" s="17"/>
      <c r="G1421" s="17"/>
      <c r="H1421" s="17"/>
      <c r="I1421" s="18" t="s">
        <v>2017</v>
      </c>
    </row>
    <row r="1422" spans="2:9" hidden="1" x14ac:dyDescent="0.25">
      <c r="B1422" s="17">
        <v>3</v>
      </c>
      <c r="C1422" s="17" t="s">
        <v>2018</v>
      </c>
      <c r="D1422" s="17" t="s">
        <v>30</v>
      </c>
      <c r="E1422" s="18" t="s">
        <v>3198</v>
      </c>
      <c r="F1422" s="17"/>
      <c r="G1422" s="17"/>
      <c r="H1422" s="17"/>
      <c r="I1422" s="18" t="s">
        <v>2019</v>
      </c>
    </row>
    <row r="1423" spans="2:9" hidden="1" x14ac:dyDescent="0.25">
      <c r="B1423" s="17">
        <v>2</v>
      </c>
      <c r="C1423" s="17" t="s">
        <v>2020</v>
      </c>
      <c r="D1423" s="17" t="s">
        <v>30</v>
      </c>
      <c r="E1423" s="18" t="s">
        <v>3199</v>
      </c>
      <c r="F1423" s="17"/>
      <c r="G1423" s="17"/>
      <c r="H1423" s="17"/>
      <c r="I1423" s="18" t="s">
        <v>2021</v>
      </c>
    </row>
    <row r="1424" spans="2:9" hidden="1" x14ac:dyDescent="0.25">
      <c r="B1424" s="17">
        <v>2</v>
      </c>
      <c r="C1424" s="17" t="s">
        <v>2022</v>
      </c>
      <c r="D1424" s="17" t="s">
        <v>30</v>
      </c>
      <c r="E1424" s="18" t="s">
        <v>3200</v>
      </c>
      <c r="F1424" s="17"/>
      <c r="G1424" s="17"/>
      <c r="H1424" s="17"/>
      <c r="I1424" s="18" t="s">
        <v>2021</v>
      </c>
    </row>
    <row r="1425" spans="2:9" hidden="1" x14ac:dyDescent="0.25">
      <c r="B1425" s="17">
        <v>2</v>
      </c>
      <c r="C1425" s="17" t="s">
        <v>2023</v>
      </c>
      <c r="D1425" s="17" t="s">
        <v>30</v>
      </c>
      <c r="E1425" s="18" t="s">
        <v>3201</v>
      </c>
      <c r="F1425" s="17"/>
      <c r="G1425" s="17"/>
      <c r="H1425" s="17"/>
      <c r="I1425" s="18" t="s">
        <v>2021</v>
      </c>
    </row>
    <row r="1426" spans="2:9" hidden="1" x14ac:dyDescent="0.25">
      <c r="B1426" s="17">
        <v>2</v>
      </c>
      <c r="C1426" s="17" t="s">
        <v>2024</v>
      </c>
      <c r="D1426" s="17" t="s">
        <v>30</v>
      </c>
      <c r="E1426" s="18" t="s">
        <v>3202</v>
      </c>
      <c r="F1426" s="17"/>
      <c r="G1426" s="17"/>
      <c r="H1426" s="17"/>
      <c r="I1426" s="18" t="s">
        <v>2025</v>
      </c>
    </row>
    <row r="1427" spans="2:9" x14ac:dyDescent="0.25">
      <c r="B1427" s="17">
        <v>1</v>
      </c>
      <c r="C1427" s="17" t="s">
        <v>2026</v>
      </c>
      <c r="D1427" s="17" t="s">
        <v>40</v>
      </c>
      <c r="E1427" s="18" t="s">
        <v>3203</v>
      </c>
      <c r="F1427" s="17" t="s">
        <v>31</v>
      </c>
      <c r="G1427" s="17" t="s">
        <v>332</v>
      </c>
      <c r="H1427" s="17" t="s">
        <v>332</v>
      </c>
      <c r="I1427" s="18" t="s">
        <v>2027</v>
      </c>
    </row>
    <row r="1428" spans="2:9" hidden="1" x14ac:dyDescent="0.25">
      <c r="B1428" s="17">
        <v>2</v>
      </c>
      <c r="C1428" s="17" t="s">
        <v>2028</v>
      </c>
      <c r="D1428" s="17" t="s">
        <v>30</v>
      </c>
      <c r="E1428" s="18" t="s">
        <v>3204</v>
      </c>
      <c r="F1428" s="17"/>
      <c r="G1428" s="17"/>
      <c r="H1428" s="17"/>
      <c r="I1428" s="18" t="s">
        <v>160</v>
      </c>
    </row>
    <row r="1429" spans="2:9" hidden="1" x14ac:dyDescent="0.25">
      <c r="B1429" s="17">
        <v>2</v>
      </c>
      <c r="C1429" s="17" t="s">
        <v>2029</v>
      </c>
      <c r="D1429" s="17" t="s">
        <v>30</v>
      </c>
      <c r="E1429" s="18" t="s">
        <v>3205</v>
      </c>
      <c r="F1429" s="17"/>
      <c r="G1429" s="17"/>
      <c r="H1429" s="17"/>
      <c r="I1429" s="18" t="s">
        <v>449</v>
      </c>
    </row>
    <row r="1430" spans="2:9" x14ac:dyDescent="0.25">
      <c r="B1430" s="17">
        <v>2</v>
      </c>
      <c r="C1430" s="17" t="s">
        <v>2030</v>
      </c>
      <c r="D1430" s="17" t="s">
        <v>42</v>
      </c>
      <c r="E1430" s="18" t="s">
        <v>3206</v>
      </c>
      <c r="F1430" s="17" t="s">
        <v>1925</v>
      </c>
      <c r="G1430" s="17" t="s">
        <v>1925</v>
      </c>
      <c r="H1430" s="17" t="s">
        <v>46</v>
      </c>
      <c r="I1430" s="18" t="s">
        <v>2031</v>
      </c>
    </row>
    <row r="1431" spans="2:9" x14ac:dyDescent="0.25">
      <c r="B1431" s="17">
        <v>2</v>
      </c>
      <c r="C1431" s="17" t="s">
        <v>2032</v>
      </c>
      <c r="D1431" s="17" t="s">
        <v>30</v>
      </c>
      <c r="E1431" s="18" t="s">
        <v>3207</v>
      </c>
      <c r="F1431" s="17" t="s">
        <v>31</v>
      </c>
      <c r="G1431" s="17" t="s">
        <v>332</v>
      </c>
      <c r="H1431" s="17" t="s">
        <v>332</v>
      </c>
      <c r="I1431" s="18" t="s">
        <v>159</v>
      </c>
    </row>
    <row r="1432" spans="2:9" hidden="1" x14ac:dyDescent="0.25">
      <c r="B1432" s="17">
        <v>3</v>
      </c>
      <c r="C1432" s="17" t="s">
        <v>2028</v>
      </c>
      <c r="D1432" s="17" t="s">
        <v>30</v>
      </c>
      <c r="E1432" s="18" t="s">
        <v>3208</v>
      </c>
      <c r="F1432" s="17"/>
      <c r="G1432" s="17"/>
      <c r="H1432" s="17"/>
      <c r="I1432" s="18" t="s">
        <v>160</v>
      </c>
    </row>
    <row r="1433" spans="2:9" hidden="1" x14ac:dyDescent="0.25">
      <c r="B1433" s="17">
        <v>3</v>
      </c>
      <c r="C1433" s="17" t="s">
        <v>2033</v>
      </c>
      <c r="D1433" s="17" t="s">
        <v>30</v>
      </c>
      <c r="E1433" s="18" t="s">
        <v>3209</v>
      </c>
      <c r="F1433" s="17"/>
      <c r="G1433" s="17"/>
      <c r="H1433" s="17"/>
      <c r="I1433" s="18" t="s">
        <v>160</v>
      </c>
    </row>
    <row r="1434" spans="2:9" x14ac:dyDescent="0.25">
      <c r="B1434" s="17">
        <v>3</v>
      </c>
      <c r="C1434" s="17" t="s">
        <v>2034</v>
      </c>
      <c r="D1434" s="17" t="s">
        <v>30</v>
      </c>
      <c r="E1434" s="18" t="s">
        <v>3210</v>
      </c>
      <c r="F1434" s="17" t="s">
        <v>1925</v>
      </c>
      <c r="G1434" s="17" t="s">
        <v>1925</v>
      </c>
      <c r="H1434" s="17" t="s">
        <v>46</v>
      </c>
      <c r="I1434" s="18" t="s">
        <v>412</v>
      </c>
    </row>
    <row r="1435" spans="2:9" x14ac:dyDescent="0.25">
      <c r="B1435" s="17">
        <v>2</v>
      </c>
      <c r="C1435" s="17" t="s">
        <v>2035</v>
      </c>
      <c r="D1435" s="17" t="s">
        <v>30</v>
      </c>
      <c r="E1435" s="18" t="s">
        <v>3211</v>
      </c>
      <c r="F1435" s="17" t="s">
        <v>31</v>
      </c>
      <c r="G1435" s="17" t="s">
        <v>332</v>
      </c>
      <c r="H1435" s="17" t="s">
        <v>332</v>
      </c>
      <c r="I1435" s="18" t="s">
        <v>159</v>
      </c>
    </row>
    <row r="1436" spans="2:9" hidden="1" x14ac:dyDescent="0.25">
      <c r="B1436" s="17">
        <v>3</v>
      </c>
      <c r="C1436" s="17" t="s">
        <v>2028</v>
      </c>
      <c r="D1436" s="17" t="s">
        <v>30</v>
      </c>
      <c r="E1436" s="18" t="s">
        <v>3208</v>
      </c>
      <c r="F1436" s="17"/>
      <c r="G1436" s="17"/>
      <c r="H1436" s="17"/>
      <c r="I1436" s="18" t="s">
        <v>160</v>
      </c>
    </row>
    <row r="1437" spans="2:9" hidden="1" x14ac:dyDescent="0.25">
      <c r="B1437" s="17">
        <v>3</v>
      </c>
      <c r="C1437" s="17" t="s">
        <v>2033</v>
      </c>
      <c r="D1437" s="17" t="s">
        <v>30</v>
      </c>
      <c r="E1437" s="18" t="s">
        <v>3209</v>
      </c>
      <c r="F1437" s="17"/>
      <c r="G1437" s="17"/>
      <c r="H1437" s="17"/>
      <c r="I1437" s="18" t="s">
        <v>160</v>
      </c>
    </row>
    <row r="1438" spans="2:9" x14ac:dyDescent="0.25">
      <c r="B1438" s="17">
        <v>3</v>
      </c>
      <c r="C1438" s="17" t="s">
        <v>2036</v>
      </c>
      <c r="D1438" s="17" t="s">
        <v>30</v>
      </c>
      <c r="E1438" s="18" t="s">
        <v>3212</v>
      </c>
      <c r="F1438" s="17" t="s">
        <v>1925</v>
      </c>
      <c r="G1438" s="17" t="s">
        <v>1925</v>
      </c>
      <c r="H1438" s="17" t="s">
        <v>46</v>
      </c>
      <c r="I1438" s="18" t="s">
        <v>412</v>
      </c>
    </row>
    <row r="1439" spans="2:9" hidden="1" x14ac:dyDescent="0.25">
      <c r="B1439" s="17">
        <v>1</v>
      </c>
      <c r="C1439" s="17" t="s">
        <v>815</v>
      </c>
      <c r="D1439" s="17" t="s">
        <v>30</v>
      </c>
      <c r="E1439" s="18" t="s">
        <v>3213</v>
      </c>
      <c r="F1439" s="17"/>
      <c r="G1439" s="17"/>
      <c r="H1439" s="17"/>
      <c r="I1439" s="18" t="s">
        <v>816</v>
      </c>
    </row>
    <row r="1440" spans="2:9" hidden="1" x14ac:dyDescent="0.25">
      <c r="B1440" s="17">
        <v>1</v>
      </c>
      <c r="C1440" s="17" t="s">
        <v>426</v>
      </c>
      <c r="D1440" s="17" t="s">
        <v>40</v>
      </c>
      <c r="E1440" s="18" t="s">
        <v>3214</v>
      </c>
      <c r="F1440" s="17"/>
      <c r="G1440" s="17"/>
      <c r="H1440" s="17"/>
      <c r="I1440" s="18" t="s">
        <v>427</v>
      </c>
    </row>
    <row r="1441" spans="2:9" hidden="1" x14ac:dyDescent="0.25">
      <c r="B1441" s="17">
        <v>1</v>
      </c>
      <c r="C1441" s="17" t="s">
        <v>994</v>
      </c>
      <c r="D1441" s="17" t="s">
        <v>30</v>
      </c>
      <c r="E1441" s="18" t="s">
        <v>3215</v>
      </c>
      <c r="F1441" s="17"/>
      <c r="G1441" s="17"/>
      <c r="H1441" s="17"/>
      <c r="I1441" s="18" t="s">
        <v>433</v>
      </c>
    </row>
    <row r="1442" spans="2:9" hidden="1" x14ac:dyDescent="0.25">
      <c r="B1442" s="17">
        <v>1</v>
      </c>
      <c r="C1442" s="17" t="s">
        <v>1491</v>
      </c>
      <c r="D1442" s="17" t="s">
        <v>40</v>
      </c>
      <c r="E1442" s="18" t="s">
        <v>3216</v>
      </c>
      <c r="F1442" s="17"/>
      <c r="G1442" s="17"/>
      <c r="H1442" s="17"/>
      <c r="I1442" s="18" t="s">
        <v>433</v>
      </c>
    </row>
    <row r="1443" spans="2:9" hidden="1" x14ac:dyDescent="0.25">
      <c r="B1443" s="17">
        <v>1</v>
      </c>
      <c r="C1443" s="17" t="s">
        <v>103</v>
      </c>
      <c r="D1443" s="17" t="s">
        <v>30</v>
      </c>
      <c r="E1443" s="18" t="s">
        <v>3217</v>
      </c>
      <c r="F1443" s="17"/>
      <c r="G1443" s="17"/>
      <c r="H1443" s="17"/>
      <c r="I1443" s="18" t="s">
        <v>104</v>
      </c>
    </row>
    <row r="1444" spans="2:9" hidden="1" x14ac:dyDescent="0.25">
      <c r="B1444" s="17">
        <v>1</v>
      </c>
      <c r="C1444" s="17" t="s">
        <v>1052</v>
      </c>
      <c r="D1444" s="17" t="s">
        <v>30</v>
      </c>
      <c r="E1444" s="18" t="s">
        <v>3218</v>
      </c>
      <c r="F1444" s="17"/>
      <c r="G1444" s="17"/>
      <c r="H1444" s="17"/>
      <c r="I1444" s="18" t="s">
        <v>1053</v>
      </c>
    </row>
    <row r="1445" spans="2:9" hidden="1" x14ac:dyDescent="0.25">
      <c r="B1445" s="17">
        <v>1</v>
      </c>
      <c r="C1445" s="17" t="s">
        <v>1716</v>
      </c>
      <c r="D1445" s="17" t="s">
        <v>30</v>
      </c>
      <c r="E1445" s="18" t="s">
        <v>3219</v>
      </c>
      <c r="F1445" s="17"/>
      <c r="G1445" s="17"/>
      <c r="H1445" s="17"/>
      <c r="I1445" s="18" t="s">
        <v>1717</v>
      </c>
    </row>
    <row r="1446" spans="2:9" hidden="1" x14ac:dyDescent="0.25">
      <c r="B1446" s="17">
        <v>1</v>
      </c>
      <c r="C1446" s="17" t="s">
        <v>105</v>
      </c>
      <c r="D1446" s="17" t="s">
        <v>40</v>
      </c>
      <c r="E1446" s="18" t="s">
        <v>3220</v>
      </c>
      <c r="F1446" s="17"/>
      <c r="G1446" s="17"/>
      <c r="H1446" s="17"/>
      <c r="I1446" s="18" t="s">
        <v>106</v>
      </c>
    </row>
    <row r="1447" spans="2:9" hidden="1" x14ac:dyDescent="0.25">
      <c r="B1447" s="17">
        <v>1</v>
      </c>
      <c r="C1447" s="17" t="s">
        <v>428</v>
      </c>
      <c r="D1447" s="17" t="s">
        <v>30</v>
      </c>
      <c r="E1447" s="18" t="s">
        <v>3221</v>
      </c>
      <c r="F1447" s="17"/>
      <c r="G1447" s="17"/>
      <c r="H1447" s="17"/>
      <c r="I1447" s="18" t="s">
        <v>106</v>
      </c>
    </row>
    <row r="1448" spans="2:9" hidden="1" x14ac:dyDescent="0.25">
      <c r="B1448" s="17">
        <v>1</v>
      </c>
      <c r="C1448" s="17" t="s">
        <v>801</v>
      </c>
      <c r="D1448" s="17" t="s">
        <v>30</v>
      </c>
      <c r="E1448" s="18" t="s">
        <v>3222</v>
      </c>
      <c r="F1448" s="17"/>
      <c r="G1448" s="17"/>
      <c r="H1448" s="17"/>
      <c r="I1448" s="18" t="s">
        <v>106</v>
      </c>
    </row>
    <row r="1449" spans="2:9" hidden="1" x14ac:dyDescent="0.25">
      <c r="B1449" s="17">
        <v>1</v>
      </c>
      <c r="C1449" s="17" t="s">
        <v>2037</v>
      </c>
      <c r="D1449" s="17" t="s">
        <v>30</v>
      </c>
      <c r="E1449" s="18" t="s">
        <v>3223</v>
      </c>
      <c r="F1449" s="17"/>
      <c r="G1449" s="17"/>
      <c r="H1449" s="17"/>
      <c r="I1449" s="18" t="s">
        <v>106</v>
      </c>
    </row>
    <row r="1450" spans="2:9" hidden="1" x14ac:dyDescent="0.25">
      <c r="B1450" s="17">
        <v>1</v>
      </c>
      <c r="C1450" s="17" t="s">
        <v>1998</v>
      </c>
      <c r="D1450" s="17" t="s">
        <v>30</v>
      </c>
      <c r="E1450" s="18" t="s">
        <v>3224</v>
      </c>
      <c r="F1450" s="17"/>
      <c r="G1450" s="17"/>
      <c r="H1450" s="17"/>
      <c r="I1450" s="18" t="s">
        <v>108</v>
      </c>
    </row>
    <row r="1451" spans="2:9" hidden="1" x14ac:dyDescent="0.25">
      <c r="B1451" s="17">
        <v>1</v>
      </c>
      <c r="C1451" s="17" t="s">
        <v>107</v>
      </c>
      <c r="D1451" s="17" t="s">
        <v>40</v>
      </c>
      <c r="E1451" s="18" t="s">
        <v>3225</v>
      </c>
      <c r="F1451" s="17"/>
      <c r="G1451" s="17"/>
      <c r="H1451" s="17"/>
      <c r="I1451" s="18" t="s">
        <v>108</v>
      </c>
    </row>
    <row r="1452" spans="2:9" hidden="1" x14ac:dyDescent="0.25">
      <c r="B1452" s="17">
        <v>1</v>
      </c>
      <c r="C1452" s="17" t="s">
        <v>2038</v>
      </c>
      <c r="D1452" s="17" t="s">
        <v>30</v>
      </c>
      <c r="E1452" s="18" t="s">
        <v>3226</v>
      </c>
      <c r="F1452" s="17"/>
      <c r="G1452" s="17"/>
      <c r="H1452" s="17"/>
      <c r="I1452" s="18" t="s">
        <v>2039</v>
      </c>
    </row>
    <row r="1453" spans="2:9" hidden="1" x14ac:dyDescent="0.25">
      <c r="B1453" s="17">
        <v>1</v>
      </c>
      <c r="C1453" s="17" t="s">
        <v>899</v>
      </c>
      <c r="D1453" s="17" t="s">
        <v>40</v>
      </c>
      <c r="E1453" s="18" t="s">
        <v>3227</v>
      </c>
      <c r="F1453" s="17"/>
      <c r="G1453" s="17"/>
      <c r="H1453" s="17"/>
      <c r="I1453" s="18" t="s">
        <v>900</v>
      </c>
    </row>
    <row r="1454" spans="2:9" hidden="1" x14ac:dyDescent="0.25">
      <c r="B1454" s="17">
        <v>1</v>
      </c>
      <c r="C1454" s="17" t="s">
        <v>55</v>
      </c>
      <c r="D1454" s="17" t="s">
        <v>40</v>
      </c>
      <c r="E1454" s="18" t="s">
        <v>3228</v>
      </c>
      <c r="F1454" s="17"/>
      <c r="G1454" s="17"/>
      <c r="H1454" s="17"/>
      <c r="I1454" s="18" t="s">
        <v>56</v>
      </c>
    </row>
    <row r="1455" spans="2:9" hidden="1" x14ac:dyDescent="0.25">
      <c r="B1455" s="17">
        <v>1</v>
      </c>
      <c r="C1455" s="17" t="s">
        <v>823</v>
      </c>
      <c r="D1455" s="17" t="s">
        <v>40</v>
      </c>
      <c r="E1455" s="18" t="s">
        <v>3229</v>
      </c>
      <c r="F1455" s="17"/>
      <c r="G1455" s="17"/>
      <c r="H1455" s="17"/>
      <c r="I1455" s="18" t="s">
        <v>824</v>
      </c>
    </row>
    <row r="1456" spans="2:9" hidden="1" x14ac:dyDescent="0.25">
      <c r="B1456" s="17">
        <v>1</v>
      </c>
      <c r="C1456" s="17" t="s">
        <v>2040</v>
      </c>
      <c r="D1456" s="17" t="s">
        <v>30</v>
      </c>
      <c r="E1456" s="18" t="s">
        <v>3230</v>
      </c>
      <c r="F1456" s="17"/>
      <c r="G1456" s="17"/>
      <c r="H1456" s="17"/>
      <c r="I1456" s="18" t="s">
        <v>2041</v>
      </c>
    </row>
    <row r="1457" spans="2:9" hidden="1" x14ac:dyDescent="0.25">
      <c r="B1457" s="17">
        <v>1</v>
      </c>
      <c r="C1457" s="17" t="s">
        <v>2042</v>
      </c>
      <c r="D1457" s="17" t="s">
        <v>30</v>
      </c>
      <c r="E1457" s="18" t="s">
        <v>3231</v>
      </c>
      <c r="F1457" s="17"/>
      <c r="G1457" s="17"/>
      <c r="H1457" s="17"/>
      <c r="I1457" s="18" t="s">
        <v>2043</v>
      </c>
    </row>
    <row r="1458" spans="2:9" hidden="1" x14ac:dyDescent="0.25">
      <c r="B1458" s="17">
        <v>1</v>
      </c>
      <c r="C1458" s="17" t="s">
        <v>640</v>
      </c>
      <c r="D1458" s="17" t="s">
        <v>40</v>
      </c>
      <c r="E1458" s="18" t="s">
        <v>3232</v>
      </c>
      <c r="F1458" s="17"/>
      <c r="G1458" s="17"/>
      <c r="H1458" s="17"/>
      <c r="I1458" s="18" t="s">
        <v>431</v>
      </c>
    </row>
    <row r="1459" spans="2:9" hidden="1" x14ac:dyDescent="0.25">
      <c r="B1459" s="17">
        <v>1</v>
      </c>
      <c r="C1459" s="17" t="s">
        <v>829</v>
      </c>
      <c r="D1459" s="17" t="s">
        <v>30</v>
      </c>
      <c r="E1459" s="18" t="s">
        <v>3233</v>
      </c>
      <c r="F1459" s="17"/>
      <c r="G1459" s="17"/>
      <c r="H1459" s="17"/>
      <c r="I1459" s="18" t="s">
        <v>830</v>
      </c>
    </row>
    <row r="1460" spans="2:9" hidden="1" x14ac:dyDescent="0.25">
      <c r="B1460" s="17">
        <v>1</v>
      </c>
      <c r="C1460" s="17" t="s">
        <v>1056</v>
      </c>
      <c r="D1460" s="17" t="s">
        <v>40</v>
      </c>
      <c r="E1460" s="18" t="s">
        <v>3234</v>
      </c>
      <c r="F1460" s="17"/>
      <c r="G1460" s="17"/>
      <c r="H1460" s="17"/>
      <c r="I1460" s="18" t="s">
        <v>431</v>
      </c>
    </row>
    <row r="1461" spans="2:9" hidden="1" x14ac:dyDescent="0.25">
      <c r="B1461" s="17">
        <v>1</v>
      </c>
      <c r="C1461" s="17" t="s">
        <v>2044</v>
      </c>
      <c r="D1461" s="17" t="s">
        <v>40</v>
      </c>
      <c r="E1461" s="18" t="s">
        <v>3235</v>
      </c>
      <c r="F1461" s="17"/>
      <c r="G1461" s="17"/>
      <c r="H1461" s="17"/>
      <c r="I1461" s="18" t="s">
        <v>431</v>
      </c>
    </row>
    <row r="1462" spans="2:9" hidden="1" x14ac:dyDescent="0.25">
      <c r="B1462" s="17">
        <v>1</v>
      </c>
      <c r="C1462" s="17" t="s">
        <v>1650</v>
      </c>
      <c r="D1462" s="17" t="s">
        <v>42</v>
      </c>
      <c r="E1462" s="18" t="s">
        <v>3236</v>
      </c>
      <c r="F1462" s="17"/>
      <c r="G1462" s="17"/>
      <c r="H1462" s="17"/>
      <c r="I1462" s="18" t="s">
        <v>431</v>
      </c>
    </row>
    <row r="1463" spans="2:9" hidden="1" x14ac:dyDescent="0.25">
      <c r="B1463" s="17">
        <v>1</v>
      </c>
      <c r="C1463" s="17" t="s">
        <v>137</v>
      </c>
      <c r="D1463" s="17" t="s">
        <v>40</v>
      </c>
      <c r="E1463" s="18" t="s">
        <v>3237</v>
      </c>
      <c r="F1463" s="17"/>
      <c r="G1463" s="17"/>
      <c r="H1463" s="17"/>
      <c r="I1463" s="18" t="s">
        <v>642</v>
      </c>
    </row>
    <row r="1464" spans="2:9" hidden="1" x14ac:dyDescent="0.25">
      <c r="B1464" s="17">
        <v>1</v>
      </c>
      <c r="C1464" s="17" t="s">
        <v>2045</v>
      </c>
      <c r="D1464" s="17" t="s">
        <v>30</v>
      </c>
      <c r="E1464" s="18" t="s">
        <v>3238</v>
      </c>
      <c r="F1464" s="17"/>
      <c r="G1464" s="17"/>
      <c r="H1464" s="17"/>
      <c r="I1464" s="18" t="s">
        <v>138</v>
      </c>
    </row>
    <row r="1465" spans="2:9" hidden="1" x14ac:dyDescent="0.25">
      <c r="B1465" s="17">
        <v>1</v>
      </c>
      <c r="C1465" s="17" t="s">
        <v>643</v>
      </c>
      <c r="D1465" s="17" t="s">
        <v>40</v>
      </c>
      <c r="E1465" s="18" t="s">
        <v>3239</v>
      </c>
      <c r="F1465" s="17"/>
      <c r="G1465" s="17"/>
      <c r="H1465" s="17"/>
      <c r="I1465" s="18" t="s">
        <v>644</v>
      </c>
    </row>
    <row r="1466" spans="2:9" hidden="1" x14ac:dyDescent="0.25">
      <c r="B1466" s="17">
        <v>1</v>
      </c>
      <c r="C1466" s="17" t="s">
        <v>932</v>
      </c>
      <c r="D1466" s="17" t="s">
        <v>43</v>
      </c>
      <c r="E1466" s="18" t="s">
        <v>3240</v>
      </c>
      <c r="F1466" s="17"/>
      <c r="G1466" s="17"/>
      <c r="H1466" s="17"/>
      <c r="I1466" s="18" t="s">
        <v>805</v>
      </c>
    </row>
  </sheetData>
  <autoFilter ref="B2:I2" xr:uid="{EABFC143-2ECF-4FBD-B56B-0B29152E2FE7}"/>
  <conditionalFormatting sqref="B1467:I1048576">
    <cfRule type="expression" dxfId="11" priority="6">
      <formula>IF($L1472="X",TRUE)</formula>
    </cfRule>
  </conditionalFormatting>
  <conditionalFormatting sqref="B3:I1466">
    <cfRule type="expression" dxfId="10" priority="12">
      <formula>IF(#REF!=-1, TRUE)</formula>
    </cfRule>
  </conditionalFormatting>
  <conditionalFormatting sqref="C3:C1466">
    <cfRule type="expression" dxfId="9" priority="13">
      <formula>IF(AND(#REF! = "x",#REF! = -1), TRUE)</formula>
    </cfRule>
  </conditionalFormatting>
  <conditionalFormatting sqref="F3:H1466">
    <cfRule type="expression" dxfId="8" priority="14">
      <formula>IF(#REF!="x",TRUE)</formula>
    </cfRule>
    <cfRule type="expression" dxfId="7" priority="15">
      <formula>IF(AND(#REF! = TRUE,#REF! = -1), TRUE)</formula>
    </cfRule>
  </conditionalFormatting>
  <conditionalFormatting sqref="B3:I1466">
    <cfRule type="expression" dxfId="6" priority="16">
      <formula>IF(#REF!="x",TRUE,FALSE)</formula>
    </cfRule>
  </conditionalFormatting>
  <dataValidations count="1">
    <dataValidation type="list" allowBlank="1" showInputMessage="1" showErrorMessage="1" sqref="B1" xr:uid="{1B2483F3-D126-46C6-92FC-796FCFECAFB8}">
      <formula1>"HOV Assy:,Finishing Kit:"</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D122"/>
  <sheetViews>
    <sheetView workbookViewId="0">
      <selection activeCell="D1" sqref="D1"/>
    </sheetView>
  </sheetViews>
  <sheetFormatPr defaultRowHeight="15" x14ac:dyDescent="0.25"/>
  <cols>
    <col min="1" max="3" width="9" style="37"/>
    <col min="4" max="4" width="17.5" style="37" bestFit="1" customWidth="1"/>
    <col min="5" max="16384" width="9" style="37"/>
  </cols>
  <sheetData>
    <row r="1" spans="2:4" ht="15.75" thickBot="1" x14ac:dyDescent="0.3">
      <c r="B1" s="37" t="s">
        <v>173</v>
      </c>
      <c r="D1" s="41" t="s">
        <v>327</v>
      </c>
    </row>
    <row r="2" spans="2:4" ht="15.75" thickTop="1" x14ac:dyDescent="0.25">
      <c r="B2" s="37" t="s">
        <v>30</v>
      </c>
      <c r="D2" s="43" t="s">
        <v>287</v>
      </c>
    </row>
    <row r="3" spans="2:4" x14ac:dyDescent="0.25">
      <c r="B3" s="37" t="s">
        <v>40</v>
      </c>
      <c r="D3" s="43" t="s">
        <v>288</v>
      </c>
    </row>
    <row r="4" spans="2:4" x14ac:dyDescent="0.25">
      <c r="B4" s="37" t="s">
        <v>42</v>
      </c>
      <c r="D4" s="43" t="s">
        <v>289</v>
      </c>
    </row>
    <row r="5" spans="2:4" x14ac:dyDescent="0.25">
      <c r="B5" s="37" t="s">
        <v>43</v>
      </c>
      <c r="D5" s="43" t="s">
        <v>290</v>
      </c>
    </row>
    <row r="6" spans="2:4" x14ac:dyDescent="0.25">
      <c r="B6" s="37" t="s">
        <v>44</v>
      </c>
      <c r="D6" s="43" t="s">
        <v>291</v>
      </c>
    </row>
    <row r="7" spans="2:4" x14ac:dyDescent="0.25">
      <c r="B7" s="37" t="s">
        <v>41</v>
      </c>
      <c r="D7" s="43" t="s">
        <v>292</v>
      </c>
    </row>
    <row r="8" spans="2:4" x14ac:dyDescent="0.25">
      <c r="B8" s="37" t="s">
        <v>49</v>
      </c>
      <c r="D8" s="43" t="s">
        <v>293</v>
      </c>
    </row>
    <row r="9" spans="2:4" x14ac:dyDescent="0.25">
      <c r="B9" s="37" t="s">
        <v>174</v>
      </c>
      <c r="D9" s="43" t="s">
        <v>294</v>
      </c>
    </row>
    <row r="10" spans="2:4" x14ac:dyDescent="0.25">
      <c r="B10" s="37" t="s">
        <v>175</v>
      </c>
      <c r="D10" s="44" t="s">
        <v>295</v>
      </c>
    </row>
    <row r="11" spans="2:4" x14ac:dyDescent="0.25">
      <c r="B11" s="37" t="s">
        <v>176</v>
      </c>
      <c r="D11" s="43" t="s">
        <v>296</v>
      </c>
    </row>
    <row r="12" spans="2:4" x14ac:dyDescent="0.25">
      <c r="B12" s="37" t="s">
        <v>177</v>
      </c>
      <c r="D12" s="42" t="s">
        <v>325</v>
      </c>
    </row>
    <row r="13" spans="2:4" x14ac:dyDescent="0.25">
      <c r="B13" s="37" t="s">
        <v>178</v>
      </c>
      <c r="D13" s="42" t="s">
        <v>297</v>
      </c>
    </row>
    <row r="14" spans="2:4" x14ac:dyDescent="0.25">
      <c r="B14" s="37" t="s">
        <v>179</v>
      </c>
      <c r="D14" s="42" t="s">
        <v>298</v>
      </c>
    </row>
    <row r="15" spans="2:4" x14ac:dyDescent="0.25">
      <c r="B15" s="37" t="s">
        <v>180</v>
      </c>
      <c r="D15" s="42" t="s">
        <v>299</v>
      </c>
    </row>
    <row r="16" spans="2:4" x14ac:dyDescent="0.25">
      <c r="B16" s="37" t="s">
        <v>181</v>
      </c>
      <c r="D16" s="42" t="s">
        <v>300</v>
      </c>
    </row>
    <row r="17" spans="2:4" x14ac:dyDescent="0.25">
      <c r="B17" s="37" t="s">
        <v>182</v>
      </c>
      <c r="D17" s="42" t="s">
        <v>301</v>
      </c>
    </row>
    <row r="18" spans="2:4" x14ac:dyDescent="0.25">
      <c r="B18" s="37" t="s">
        <v>183</v>
      </c>
      <c r="D18" s="42" t="s">
        <v>302</v>
      </c>
    </row>
    <row r="19" spans="2:4" x14ac:dyDescent="0.25">
      <c r="B19" s="37" t="s">
        <v>184</v>
      </c>
      <c r="D19" s="42" t="s">
        <v>303</v>
      </c>
    </row>
    <row r="20" spans="2:4" x14ac:dyDescent="0.25">
      <c r="B20" s="37" t="s">
        <v>185</v>
      </c>
      <c r="D20" s="42" t="s">
        <v>304</v>
      </c>
    </row>
    <row r="21" spans="2:4" x14ac:dyDescent="0.25">
      <c r="B21" s="37" t="s">
        <v>66</v>
      </c>
      <c r="D21" s="43" t="s">
        <v>305</v>
      </c>
    </row>
    <row r="22" spans="2:4" x14ac:dyDescent="0.25">
      <c r="B22" s="37" t="s">
        <v>186</v>
      </c>
      <c r="D22" s="43" t="s">
        <v>306</v>
      </c>
    </row>
    <row r="23" spans="2:4" x14ac:dyDescent="0.25">
      <c r="B23" s="37" t="s">
        <v>187</v>
      </c>
      <c r="D23" s="43" t="s">
        <v>307</v>
      </c>
    </row>
    <row r="24" spans="2:4" x14ac:dyDescent="0.25">
      <c r="B24" s="37" t="s">
        <v>188</v>
      </c>
      <c r="D24" s="43" t="s">
        <v>308</v>
      </c>
    </row>
    <row r="25" spans="2:4" x14ac:dyDescent="0.25">
      <c r="B25" s="37" t="s">
        <v>189</v>
      </c>
      <c r="D25" s="43" t="s">
        <v>309</v>
      </c>
    </row>
    <row r="26" spans="2:4" x14ac:dyDescent="0.25">
      <c r="B26" s="37" t="s">
        <v>190</v>
      </c>
      <c r="D26" s="43" t="s">
        <v>310</v>
      </c>
    </row>
    <row r="27" spans="2:4" x14ac:dyDescent="0.25">
      <c r="B27" s="37" t="s">
        <v>191</v>
      </c>
      <c r="D27" s="43" t="s">
        <v>311</v>
      </c>
    </row>
    <row r="28" spans="2:4" x14ac:dyDescent="0.25">
      <c r="B28" s="37" t="s">
        <v>192</v>
      </c>
      <c r="D28" s="43" t="s">
        <v>312</v>
      </c>
    </row>
    <row r="29" spans="2:4" x14ac:dyDescent="0.25">
      <c r="B29" s="37" t="s">
        <v>193</v>
      </c>
      <c r="D29" s="43" t="s">
        <v>313</v>
      </c>
    </row>
    <row r="30" spans="2:4" x14ac:dyDescent="0.25">
      <c r="B30" s="37" t="s">
        <v>194</v>
      </c>
      <c r="D30" s="43" t="s">
        <v>314</v>
      </c>
    </row>
    <row r="31" spans="2:4" x14ac:dyDescent="0.25">
      <c r="B31" s="37" t="s">
        <v>195</v>
      </c>
      <c r="D31" s="43" t="s">
        <v>315</v>
      </c>
    </row>
    <row r="32" spans="2:4" x14ac:dyDescent="0.25">
      <c r="B32" s="37" t="s">
        <v>196</v>
      </c>
      <c r="D32" s="43" t="s">
        <v>316</v>
      </c>
    </row>
    <row r="33" spans="2:4" x14ac:dyDescent="0.25">
      <c r="B33" s="37" t="s">
        <v>197</v>
      </c>
      <c r="D33" s="43" t="s">
        <v>317</v>
      </c>
    </row>
    <row r="34" spans="2:4" x14ac:dyDescent="0.25">
      <c r="B34" s="37" t="s">
        <v>198</v>
      </c>
      <c r="D34" s="43" t="s">
        <v>318</v>
      </c>
    </row>
    <row r="35" spans="2:4" x14ac:dyDescent="0.25">
      <c r="B35" s="37" t="s">
        <v>199</v>
      </c>
      <c r="D35" s="43" t="s">
        <v>326</v>
      </c>
    </row>
    <row r="36" spans="2:4" x14ac:dyDescent="0.25">
      <c r="B36" s="37" t="s">
        <v>200</v>
      </c>
      <c r="D36" s="43" t="s">
        <v>319</v>
      </c>
    </row>
    <row r="37" spans="2:4" x14ac:dyDescent="0.25">
      <c r="B37" s="37" t="s">
        <v>201</v>
      </c>
      <c r="D37" s="43" t="s">
        <v>320</v>
      </c>
    </row>
    <row r="38" spans="2:4" x14ac:dyDescent="0.25">
      <c r="B38" s="37" t="s">
        <v>202</v>
      </c>
      <c r="D38" s="43" t="s">
        <v>321</v>
      </c>
    </row>
    <row r="39" spans="2:4" x14ac:dyDescent="0.25">
      <c r="B39" s="37" t="s">
        <v>203</v>
      </c>
      <c r="D39" s="43" t="s">
        <v>322</v>
      </c>
    </row>
    <row r="40" spans="2:4" x14ac:dyDescent="0.25">
      <c r="B40" s="37" t="s">
        <v>204</v>
      </c>
      <c r="D40" s="43" t="s">
        <v>323</v>
      </c>
    </row>
    <row r="41" spans="2:4" x14ac:dyDescent="0.25">
      <c r="B41" s="37" t="s">
        <v>205</v>
      </c>
      <c r="D41" s="44" t="s">
        <v>324</v>
      </c>
    </row>
    <row r="42" spans="2:4" x14ac:dyDescent="0.25">
      <c r="B42" s="37" t="s">
        <v>206</v>
      </c>
    </row>
    <row r="43" spans="2:4" x14ac:dyDescent="0.25">
      <c r="B43" s="37" t="s">
        <v>207</v>
      </c>
    </row>
    <row r="44" spans="2:4" x14ac:dyDescent="0.25">
      <c r="B44" s="37" t="s">
        <v>208</v>
      </c>
    </row>
    <row r="45" spans="2:4" x14ac:dyDescent="0.25">
      <c r="B45" s="37" t="s">
        <v>209</v>
      </c>
    </row>
    <row r="46" spans="2:4" x14ac:dyDescent="0.25">
      <c r="B46" s="37" t="s">
        <v>210</v>
      </c>
    </row>
    <row r="47" spans="2:4" x14ac:dyDescent="0.25">
      <c r="B47" s="37" t="s">
        <v>211</v>
      </c>
    </row>
    <row r="48" spans="2:4" x14ac:dyDescent="0.25">
      <c r="B48" s="37" t="s">
        <v>212</v>
      </c>
    </row>
    <row r="49" spans="2:2" x14ac:dyDescent="0.25">
      <c r="B49" s="37" t="s">
        <v>213</v>
      </c>
    </row>
    <row r="50" spans="2:2" x14ac:dyDescent="0.25">
      <c r="B50" s="37" t="s">
        <v>214</v>
      </c>
    </row>
    <row r="51" spans="2:2" x14ac:dyDescent="0.25">
      <c r="B51" s="37" t="s">
        <v>215</v>
      </c>
    </row>
    <row r="52" spans="2:2" x14ac:dyDescent="0.25">
      <c r="B52" s="37" t="s">
        <v>216</v>
      </c>
    </row>
    <row r="53" spans="2:2" x14ac:dyDescent="0.25">
      <c r="B53" s="37" t="s">
        <v>217</v>
      </c>
    </row>
    <row r="54" spans="2:2" x14ac:dyDescent="0.25">
      <c r="B54" s="37" t="s">
        <v>218</v>
      </c>
    </row>
    <row r="55" spans="2:2" x14ac:dyDescent="0.25">
      <c r="B55" s="37" t="s">
        <v>219</v>
      </c>
    </row>
    <row r="56" spans="2:2" x14ac:dyDescent="0.25">
      <c r="B56" s="37" t="s">
        <v>220</v>
      </c>
    </row>
    <row r="57" spans="2:2" x14ac:dyDescent="0.25">
      <c r="B57" s="37" t="s">
        <v>221</v>
      </c>
    </row>
    <row r="58" spans="2:2" x14ac:dyDescent="0.25">
      <c r="B58" s="37" t="s">
        <v>222</v>
      </c>
    </row>
    <row r="59" spans="2:2" x14ac:dyDescent="0.25">
      <c r="B59" s="37" t="s">
        <v>223</v>
      </c>
    </row>
    <row r="60" spans="2:2" x14ac:dyDescent="0.25">
      <c r="B60" s="37" t="s">
        <v>224</v>
      </c>
    </row>
    <row r="61" spans="2:2" x14ac:dyDescent="0.25">
      <c r="B61" s="37" t="s">
        <v>225</v>
      </c>
    </row>
    <row r="62" spans="2:2" x14ac:dyDescent="0.25">
      <c r="B62" s="37" t="s">
        <v>226</v>
      </c>
    </row>
    <row r="63" spans="2:2" x14ac:dyDescent="0.25">
      <c r="B63" s="37" t="s">
        <v>227</v>
      </c>
    </row>
    <row r="64" spans="2:2" x14ac:dyDescent="0.25">
      <c r="B64" s="37" t="s">
        <v>228</v>
      </c>
    </row>
    <row r="65" spans="2:2" x14ac:dyDescent="0.25">
      <c r="B65" s="37" t="s">
        <v>229</v>
      </c>
    </row>
    <row r="66" spans="2:2" x14ac:dyDescent="0.25">
      <c r="B66" s="37" t="s">
        <v>230</v>
      </c>
    </row>
    <row r="67" spans="2:2" x14ac:dyDescent="0.25">
      <c r="B67" s="37" t="s">
        <v>231</v>
      </c>
    </row>
    <row r="68" spans="2:2" x14ac:dyDescent="0.25">
      <c r="B68" s="37" t="s">
        <v>232</v>
      </c>
    </row>
    <row r="69" spans="2:2" x14ac:dyDescent="0.25">
      <c r="B69" s="37" t="s">
        <v>233</v>
      </c>
    </row>
    <row r="70" spans="2:2" x14ac:dyDescent="0.25">
      <c r="B70" s="37" t="s">
        <v>234</v>
      </c>
    </row>
    <row r="71" spans="2:2" x14ac:dyDescent="0.25">
      <c r="B71" s="37" t="s">
        <v>235</v>
      </c>
    </row>
    <row r="72" spans="2:2" x14ac:dyDescent="0.25">
      <c r="B72" s="37" t="s">
        <v>236</v>
      </c>
    </row>
    <row r="73" spans="2:2" x14ac:dyDescent="0.25">
      <c r="B73" s="37" t="s">
        <v>237</v>
      </c>
    </row>
    <row r="74" spans="2:2" x14ac:dyDescent="0.25">
      <c r="B74" s="37" t="s">
        <v>238</v>
      </c>
    </row>
    <row r="75" spans="2:2" x14ac:dyDescent="0.25">
      <c r="B75" s="37" t="s">
        <v>239</v>
      </c>
    </row>
    <row r="76" spans="2:2" x14ac:dyDescent="0.25">
      <c r="B76" s="37" t="s">
        <v>240</v>
      </c>
    </row>
    <row r="77" spans="2:2" x14ac:dyDescent="0.25">
      <c r="B77" s="37" t="s">
        <v>241</v>
      </c>
    </row>
    <row r="78" spans="2:2" x14ac:dyDescent="0.25">
      <c r="B78" s="37" t="s">
        <v>242</v>
      </c>
    </row>
    <row r="79" spans="2:2" x14ac:dyDescent="0.25">
      <c r="B79" s="37" t="s">
        <v>243</v>
      </c>
    </row>
    <row r="80" spans="2:2" x14ac:dyDescent="0.25">
      <c r="B80" s="37" t="s">
        <v>244</v>
      </c>
    </row>
    <row r="81" spans="2:2" x14ac:dyDescent="0.25">
      <c r="B81" s="37" t="s">
        <v>245</v>
      </c>
    </row>
    <row r="82" spans="2:2" x14ac:dyDescent="0.25">
      <c r="B82" s="37" t="s">
        <v>246</v>
      </c>
    </row>
    <row r="83" spans="2:2" x14ac:dyDescent="0.25">
      <c r="B83" s="37" t="s">
        <v>247</v>
      </c>
    </row>
    <row r="84" spans="2:2" x14ac:dyDescent="0.25">
      <c r="B84" s="37" t="s">
        <v>248</v>
      </c>
    </row>
    <row r="85" spans="2:2" x14ac:dyDescent="0.25">
      <c r="B85" s="37" t="s">
        <v>249</v>
      </c>
    </row>
    <row r="86" spans="2:2" x14ac:dyDescent="0.25">
      <c r="B86" s="37" t="s">
        <v>250</v>
      </c>
    </row>
    <row r="87" spans="2:2" x14ac:dyDescent="0.25">
      <c r="B87" s="37" t="s">
        <v>251</v>
      </c>
    </row>
    <row r="88" spans="2:2" x14ac:dyDescent="0.25">
      <c r="B88" s="37" t="s">
        <v>252</v>
      </c>
    </row>
    <row r="89" spans="2:2" x14ac:dyDescent="0.25">
      <c r="B89" s="37" t="s">
        <v>253</v>
      </c>
    </row>
    <row r="90" spans="2:2" x14ac:dyDescent="0.25">
      <c r="B90" s="37" t="s">
        <v>254</v>
      </c>
    </row>
    <row r="91" spans="2:2" x14ac:dyDescent="0.25">
      <c r="B91" s="37" t="s">
        <v>255</v>
      </c>
    </row>
    <row r="92" spans="2:2" x14ac:dyDescent="0.25">
      <c r="B92" s="37" t="s">
        <v>256</v>
      </c>
    </row>
    <row r="93" spans="2:2" x14ac:dyDescent="0.25">
      <c r="B93" s="37" t="s">
        <v>257</v>
      </c>
    </row>
    <row r="94" spans="2:2" x14ac:dyDescent="0.25">
      <c r="B94" s="37" t="s">
        <v>258</v>
      </c>
    </row>
    <row r="95" spans="2:2" x14ac:dyDescent="0.25">
      <c r="B95" s="37" t="s">
        <v>259</v>
      </c>
    </row>
    <row r="96" spans="2:2" x14ac:dyDescent="0.25">
      <c r="B96" s="37" t="s">
        <v>260</v>
      </c>
    </row>
    <row r="97" spans="2:2" x14ac:dyDescent="0.25">
      <c r="B97" s="37" t="s">
        <v>261</v>
      </c>
    </row>
    <row r="98" spans="2:2" x14ac:dyDescent="0.25">
      <c r="B98" s="37" t="s">
        <v>262</v>
      </c>
    </row>
    <row r="99" spans="2:2" x14ac:dyDescent="0.25">
      <c r="B99" s="37" t="s">
        <v>263</v>
      </c>
    </row>
    <row r="100" spans="2:2" x14ac:dyDescent="0.25">
      <c r="B100" s="37" t="s">
        <v>264</v>
      </c>
    </row>
    <row r="101" spans="2:2" x14ac:dyDescent="0.25">
      <c r="B101" s="37" t="s">
        <v>265</v>
      </c>
    </row>
    <row r="102" spans="2:2" x14ac:dyDescent="0.25">
      <c r="B102" s="37" t="s">
        <v>266</v>
      </c>
    </row>
    <row r="103" spans="2:2" x14ac:dyDescent="0.25">
      <c r="B103" s="37" t="s">
        <v>267</v>
      </c>
    </row>
    <row r="104" spans="2:2" x14ac:dyDescent="0.25">
      <c r="B104" s="37" t="s">
        <v>268</v>
      </c>
    </row>
    <row r="105" spans="2:2" x14ac:dyDescent="0.25">
      <c r="B105" s="37" t="s">
        <v>269</v>
      </c>
    </row>
    <row r="106" spans="2:2" x14ac:dyDescent="0.25">
      <c r="B106" s="37" t="s">
        <v>270</v>
      </c>
    </row>
    <row r="107" spans="2:2" x14ac:dyDescent="0.25">
      <c r="B107" s="37" t="s">
        <v>271</v>
      </c>
    </row>
    <row r="108" spans="2:2" x14ac:dyDescent="0.25">
      <c r="B108" s="37" t="s">
        <v>272</v>
      </c>
    </row>
    <row r="109" spans="2:2" x14ac:dyDescent="0.25">
      <c r="B109" s="37" t="s">
        <v>273</v>
      </c>
    </row>
    <row r="110" spans="2:2" x14ac:dyDescent="0.25">
      <c r="B110" s="37" t="s">
        <v>274</v>
      </c>
    </row>
    <row r="111" spans="2:2" x14ac:dyDescent="0.25">
      <c r="B111" s="37" t="s">
        <v>275</v>
      </c>
    </row>
    <row r="112" spans="2:2" x14ac:dyDescent="0.25">
      <c r="B112" s="37" t="s">
        <v>276</v>
      </c>
    </row>
    <row r="113" spans="2:2" x14ac:dyDescent="0.25">
      <c r="B113" s="37" t="s">
        <v>277</v>
      </c>
    </row>
    <row r="114" spans="2:2" x14ac:dyDescent="0.25">
      <c r="B114" s="37" t="s">
        <v>278</v>
      </c>
    </row>
    <row r="115" spans="2:2" x14ac:dyDescent="0.25">
      <c r="B115" s="37" t="s">
        <v>279</v>
      </c>
    </row>
    <row r="116" spans="2:2" x14ac:dyDescent="0.25">
      <c r="B116" s="37" t="s">
        <v>280</v>
      </c>
    </row>
    <row r="117" spans="2:2" x14ac:dyDescent="0.25">
      <c r="B117" s="37" t="s">
        <v>281</v>
      </c>
    </row>
    <row r="118" spans="2:2" x14ac:dyDescent="0.25">
      <c r="B118" s="37" t="s">
        <v>282</v>
      </c>
    </row>
    <row r="119" spans="2:2" x14ac:dyDescent="0.25">
      <c r="B119" s="37" t="s">
        <v>283</v>
      </c>
    </row>
    <row r="120" spans="2:2" x14ac:dyDescent="0.25">
      <c r="B120" s="37" t="s">
        <v>284</v>
      </c>
    </row>
    <row r="121" spans="2:2" x14ac:dyDescent="0.25">
      <c r="B121" s="37" t="s">
        <v>285</v>
      </c>
    </row>
    <row r="122" spans="2:2" x14ac:dyDescent="0.25">
      <c r="B122" s="37" t="s">
        <v>286</v>
      </c>
    </row>
  </sheetData>
  <pageMargins left="0.7" right="0.7" top="0.75" bottom="0.75" header="0.3" footer="0.3"/>
  <pageSetup paperSize="9" orientation="landscape" r:id="rId1"/>
  <headerFooter>
    <oddHeader>&amp;RRev. N/C&amp;C&amp;"Calibri"&amp;10&amp;KFF8C00C2 - Confidential&amp;1#_x000D_&amp;"Calibri"&amp;11&amp;K000000Report No: CF-</oddHeader>
  </headerFooter>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6</vt:i4>
      </vt:variant>
      <vt:variant>
        <vt:lpstr>Intervalos Nomeados</vt:lpstr>
      </vt:variant>
      <vt:variant>
        <vt:i4>8</vt:i4>
      </vt:variant>
    </vt:vector>
  </HeadingPairs>
  <TitlesOfParts>
    <vt:vector size="14" baseType="lpstr">
      <vt:lpstr>Cover</vt:lpstr>
      <vt:lpstr>Approvals</vt:lpstr>
      <vt:lpstr>Revisions</vt:lpstr>
      <vt:lpstr>Instructions</vt:lpstr>
      <vt:lpstr>AAA</vt:lpstr>
      <vt:lpstr>SUPPORT</vt:lpstr>
      <vt:lpstr>Approvals!Area_de_impressao</vt:lpstr>
      <vt:lpstr>Cover!Area_de_impressao</vt:lpstr>
      <vt:lpstr>Instructions!Area_de_impressao</vt:lpstr>
      <vt:lpstr>Revisions!Area_de_impressao</vt:lpstr>
      <vt:lpstr>rConfigCode</vt:lpstr>
      <vt:lpstr>Cover!rDocNum</vt:lpstr>
      <vt:lpstr>rPN</vt:lpstr>
      <vt:lpstr>rRevHeader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CHRISTOPHER GEBO</dc:creator>
  <cp:lastModifiedBy>STEFAN SOUZA CRUZ</cp:lastModifiedBy>
  <cp:lastPrinted>2014-10-02T13:38:11Z</cp:lastPrinted>
  <dcterms:created xsi:type="dcterms:W3CDTF">2011-11-08T19:40:37Z</dcterms:created>
  <dcterms:modified xsi:type="dcterms:W3CDTF">2026-02-10T22:53:10Z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ECN_NO">
    <vt:lpwstr/>
  </property>
  <property fmtid="{D5CDD505-2E9C-101B-9397-08002B2CF9AE}" pid="3" name="MSIP_Label_024ffcea-f25b-491e-9dc9-834516f3550e_Enabled">
    <vt:lpwstr>true</vt:lpwstr>
  </property>
  <property fmtid="{D5CDD505-2E9C-101B-9397-08002B2CF9AE}" pid="4" name="MSIP_Label_024ffcea-f25b-491e-9dc9-834516f3550e_SetDate">
    <vt:lpwstr>2024-12-06T10:07:56Z</vt:lpwstr>
  </property>
  <property fmtid="{D5CDD505-2E9C-101B-9397-08002B2CF9AE}" pid="5" name="MSIP_Label_024ffcea-f25b-491e-9dc9-834516f3550e_Method">
    <vt:lpwstr>Standard</vt:lpwstr>
  </property>
  <property fmtid="{D5CDD505-2E9C-101B-9397-08002B2CF9AE}" pid="6" name="MSIP_Label_024ffcea-f25b-491e-9dc9-834516f3550e_Name">
    <vt:lpwstr>C2 - restricted</vt:lpwstr>
  </property>
  <property fmtid="{D5CDD505-2E9C-101B-9397-08002B2CF9AE}" pid="7" name="MSIP_Label_024ffcea-f25b-491e-9dc9-834516f3550e_SiteId">
    <vt:lpwstr>d52b49b7-0c8f-4d89-8c4f-f20517306e08</vt:lpwstr>
  </property>
  <property fmtid="{D5CDD505-2E9C-101B-9397-08002B2CF9AE}" pid="8" name="MSIP_Label_024ffcea-f25b-491e-9dc9-834516f3550e_ActionId">
    <vt:lpwstr>bcb033f7-673a-4115-970a-3482ac656dbf</vt:lpwstr>
  </property>
  <property fmtid="{D5CDD505-2E9C-101B-9397-08002B2CF9AE}" pid="9" name="MSIP_Label_024ffcea-f25b-491e-9dc9-834516f3550e_ContentBits">
    <vt:lpwstr>1</vt:lpwstr>
  </property>
</Properties>
</file>